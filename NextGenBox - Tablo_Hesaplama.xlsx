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zet" sheetId="1" r:id="rId5"/>
    <sheet state="visible" name="Veri_Girisi" sheetId="2" r:id="rId6"/>
    <sheet state="visible" name="Aylik_KarZarar" sheetId="3" r:id="rId7"/>
    <sheet state="visible" name="Giderler" sheetId="4" r:id="rId8"/>
    <sheet state="visible" name="Parametreler" sheetId="5" r:id="rId9"/>
    <sheet state="visible" name="Yatirim" sheetId="6" r:id="rId10"/>
    <sheet state="visible" name="AVM_Detay" sheetId="7" r:id="rId11"/>
    <sheet state="hidden" name="Hesaplama" sheetId="8" r:id="rId12"/>
    <sheet state="visible" name="Nakit_Akis" sheetId="9" r:id="rId13"/>
    <sheet state="visible" name="Kar_Analizi" sheetId="10" r:id="rId14"/>
    <sheet state="visible" name="Senaryo" sheetId="11" r:id="rId15"/>
    <sheet state="visible" name="Basabas" sheetId="12" r:id="rId16"/>
    <sheet state="visible" name="Rehber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Yatırım sayfası genel toplam (KDV hariç).</t>
      </text>
    </comment>
    <comment authorId="0" ref="B6">
      <text>
        <t xml:space="preserve">KDV dahil toplam maliyet. Nakit alımlarda KDV=0 olduğundan fark küçük.</t>
      </text>
    </comment>
    <comment authorId="0" ref="B11">
      <text>
        <t xml:space="preserve">Tüm AVM'lerin tüm aylarının brüt gelir toplamı.
Oturum × 300 TL (KDV dahil).</t>
      </text>
    </comment>
    <comment authorId="0" ref="B12">
      <text>
        <t xml:space="preserve">Müşteriden tahsil edilen toplam KDV.
Devlete ödenecek.</t>
      </text>
    </comment>
    <comment authorId="0" ref="B13">
      <text>
        <t xml:space="preserve">KDV çıkarılmış gerçek gelir.
Brüt Gelir × 100/120.</t>
      </text>
    </comment>
    <comment authorId="0" ref="B16">
      <text>
        <t xml:space="preserve">Kira + aidat + kira KDV + ciro payı. XND faturası dahil DEĞİL.</t>
      </text>
    </comment>
    <comment authorId="0" ref="B17">
      <text>
        <t xml:space="preserve">Veri_Girisi E sütunundaki ek masrafların toplamı.</t>
      </text>
    </comment>
    <comment authorId="0" ref="B21">
      <text>
        <t xml:space="preserve">Net Gelir - Toplam Gider.
Vergi öncesi kâr/zarar.</t>
      </text>
    </comment>
    <comment authorId="0" ref="B22">
      <text>
        <t xml:space="preserve">Artan oranlı gelir vergisi. Hızla Kirala fatura geliri (180K/yıl) matraha dahil.</t>
      </text>
    </comment>
    <comment authorId="0" ref="B23">
      <text>
        <t xml:space="preserve">Tüm vergiler düşüldükten sonra ortaklara kalan net tutar.
Hızla Kirala geliri dahil, KDV ve gelir vergisi düşülmüş.</t>
      </text>
    </comment>
    <comment authorId="0" ref="B26">
      <text>
        <t xml:space="preserve">Net Kâr × %50 (Alp payı).
Kar_Analizi sayfasından çekilir.</t>
      </text>
    </comment>
    <comment authorId="0" ref="B27">
      <text>
        <t xml:space="preserve">Net Kâr × %50 (NextGenBox payı).
Kar_Analizi sayfasından çekilir.</t>
      </text>
    </comment>
    <comment authorId="0" ref="B30">
      <text>
        <t xml:space="preserve">Aylık sabit maliyeti karşılamak için gereken minimum toplam oturum.
92.500 TL / 250 TL = 370 oturum.</t>
      </text>
    </comment>
    <comment authorId="0" ref="B31">
      <text>
        <t xml:space="preserve">370 / 2 = 185 oturum.
Her AVM'nin aylık hedefi. Günlük ~6 oturum.</t>
      </text>
    </comment>
    <comment authorId="0" ref="B32">
      <text>
        <t xml:space="preserve">Toplam yatırımın kaç ayda geri döneceği.
Aylık net kâr pozitifse hesaplanır.</t>
      </text>
    </comment>
    <comment authorId="0" ref="B36">
      <text>
        <t xml:space="preserve">FORMÜL: Yıllık gelir / 12
Aylık ortalama gelir. Ciro eşiğiyle karşılaştırılır.</t>
      </text>
    </comment>
    <comment authorId="0" ref="C36">
      <text>
        <t xml:space="preserve">Aylık ort. gelir &lt; ciro eşiği → uyarı.
Ciro payı ödenmez ama kira hedefine ulaşılmamış.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Ay formatı: 2026-01, 2026-02 vb. Her AVM için 12 ay satır var.</t>
      </text>
    </comment>
    <comment authorId="0" ref="B5">
      <text>
        <t xml:space="preserve">AVM adı. AVM_Detay sayfasından çekilir, dropdown ile seçilir.</t>
      </text>
    </comment>
    <comment authorId="0" ref="C5">
      <text>
        <t xml:space="preserve">SİZİN GİRECEĞİNİZ ALAN
kabinrapor.com → Raporlar → o aydaki toplam oturum adedi.
Her oturum = 300 TL gelir.</t>
      </text>
    </comment>
    <comment authorId="0" ref="D5">
      <text>
        <t xml:space="preserve">FORMÜL: Oturum × Parametreler!B4
Örnek: 82 × 300 = 24.600 TL
Otomatik — değiştirmeyin.</t>
      </text>
    </comment>
    <comment authorId="0" ref="E5">
      <text>
        <t xml:space="preserve">SİZİN GİRECEĞİNİZ ALAN
O ay beklenmedik gider varsa yazın.
Elektrik arızası, ekstra temizlik, bakım vb.
Yoksa BOŞ bırakın.</t>
      </text>
    </comment>
    <comment authorId="0" ref="F5">
      <text>
        <t xml:space="preserve">Diğer masrafın ne olduğunu kısa not olarak yazın.
Örnek: "Ekran tamiri", "Ek temizlik" vb.</t>
      </text>
    </comment>
    <comment authorId="0" ref="C6">
      <text>
        <t xml:space="preserve">Oturum sayısını girin</t>
      </text>
    </comment>
    <comment authorId="0" ref="E6">
      <text>
        <t xml:space="preserve">Ek masraf varsa girin</t>
      </text>
    </comment>
    <comment authorId="0" ref="C7">
      <text>
        <t xml:space="preserve">Oturum sayısını girin</t>
      </text>
    </comment>
    <comment authorId="0" ref="E7">
      <text>
        <t xml:space="preserve">Ek masraf varsa girin</t>
      </text>
    </comment>
    <comment authorId="0" ref="C8">
      <text>
        <t xml:space="preserve">Bursa Mart 2026: 82 oturum
12.03 - 16.03 arası (5 gün)
Günlük ortalama: ~16 oturum</t>
      </text>
    </comment>
    <comment authorId="0" ref="E8">
      <text>
        <t xml:space="preserve">Ek masraf varsa girin</t>
      </text>
    </comment>
    <comment authorId="0" ref="C9">
      <text>
        <t xml:space="preserve">Oturum sayısını girin</t>
      </text>
    </comment>
    <comment authorId="0" ref="E9">
      <text>
        <t xml:space="preserve">Ek masraf varsa girin</t>
      </text>
    </comment>
    <comment authorId="0" ref="C10">
      <text>
        <t xml:space="preserve">Oturum sayısını girin</t>
      </text>
    </comment>
    <comment authorId="0" ref="E10">
      <text>
        <t xml:space="preserve">Ek masraf varsa girin</t>
      </text>
    </comment>
    <comment authorId="0" ref="C11">
      <text>
        <t xml:space="preserve">Oturum sayısını girin</t>
      </text>
    </comment>
    <comment authorId="0" ref="E11">
      <text>
        <t xml:space="preserve">Ek masraf varsa girin</t>
      </text>
    </comment>
    <comment authorId="0" ref="C12">
      <text>
        <t xml:space="preserve">Oturum sayısını girin</t>
      </text>
    </comment>
    <comment authorId="0" ref="E12">
      <text>
        <t xml:space="preserve">Ek masraf varsa girin</t>
      </text>
    </comment>
    <comment authorId="0" ref="C13">
      <text>
        <t xml:space="preserve">Oturum sayısını girin</t>
      </text>
    </comment>
    <comment authorId="0" ref="E13">
      <text>
        <t xml:space="preserve">Ek masraf varsa girin</t>
      </text>
    </comment>
    <comment authorId="0" ref="C14">
      <text>
        <t xml:space="preserve">Oturum sayısını girin</t>
      </text>
    </comment>
    <comment authorId="0" ref="E14">
      <text>
        <t xml:space="preserve">Ek masraf varsa girin</t>
      </text>
    </comment>
    <comment authorId="0" ref="C15">
      <text>
        <t xml:space="preserve">Oturum sayısını girin</t>
      </text>
    </comment>
    <comment authorId="0" ref="E15">
      <text>
        <t xml:space="preserve">Ek masraf varsa girin</t>
      </text>
    </comment>
    <comment authorId="0" ref="C16">
      <text>
        <t xml:space="preserve">Oturum sayısını girin</t>
      </text>
    </comment>
    <comment authorId="0" ref="E16">
      <text>
        <t xml:space="preserve">Ek masraf varsa girin</t>
      </text>
    </comment>
    <comment authorId="0" ref="C17">
      <text>
        <t xml:space="preserve">Oturum sayısını girin</t>
      </text>
    </comment>
    <comment authorId="0" ref="E17">
      <text>
        <t xml:space="preserve">Ek masraf varsa girin</t>
      </text>
    </comment>
    <comment authorId="0" ref="C18">
      <text>
        <t xml:space="preserve">Oturum sayısını girin</t>
      </text>
    </comment>
    <comment authorId="0" ref="E18">
      <text>
        <t xml:space="preserve">Ek masraf varsa girin</t>
      </text>
    </comment>
    <comment authorId="0" ref="C19">
      <text>
        <t xml:space="preserve">Oturum sayısını girin</t>
      </text>
    </comment>
    <comment authorId="0" ref="E19">
      <text>
        <t xml:space="preserve">Ek masraf varsa girin</t>
      </text>
    </comment>
    <comment authorId="0" ref="C20">
      <text>
        <t xml:space="preserve">İzmir Mart 2026: 35 oturum
15.03 - 16.03 arası (2 gün)
Günlük ortalama: ~17.5 oturum</t>
      </text>
    </comment>
    <comment authorId="0" ref="E20">
      <text>
        <t xml:space="preserve">Ek masraf varsa girin</t>
      </text>
    </comment>
    <comment authorId="0" ref="C21">
      <text>
        <t xml:space="preserve">Oturum sayısını girin</t>
      </text>
    </comment>
    <comment authorId="0" ref="E21">
      <text>
        <t xml:space="preserve">Ek masraf varsa girin</t>
      </text>
    </comment>
    <comment authorId="0" ref="C22">
      <text>
        <t xml:space="preserve">Oturum sayısını girin</t>
      </text>
    </comment>
    <comment authorId="0" ref="E22">
      <text>
        <t xml:space="preserve">Ek masraf varsa girin</t>
      </text>
    </comment>
    <comment authorId="0" ref="C23">
      <text>
        <t xml:space="preserve">Oturum sayısını girin</t>
      </text>
    </comment>
    <comment authorId="0" ref="E23">
      <text>
        <t xml:space="preserve">Ek masraf varsa girin</t>
      </text>
    </comment>
    <comment authorId="0" ref="C24">
      <text>
        <t xml:space="preserve">Oturum sayısını girin</t>
      </text>
    </comment>
    <comment authorId="0" ref="E24">
      <text>
        <t xml:space="preserve">Ek masraf varsa girin</t>
      </text>
    </comment>
    <comment authorId="0" ref="C25">
      <text>
        <t xml:space="preserve">Oturum sayısını girin</t>
      </text>
    </comment>
    <comment authorId="0" ref="E25">
      <text>
        <t xml:space="preserve">Ek masraf varsa girin</t>
      </text>
    </comment>
    <comment authorId="0" ref="C26">
      <text>
        <t xml:space="preserve">Oturum sayısını girin</t>
      </text>
    </comment>
    <comment authorId="0" ref="E26">
      <text>
        <t xml:space="preserve">Ek masraf varsa girin</t>
      </text>
    </comment>
    <comment authorId="0" ref="C27">
      <text>
        <t xml:space="preserve">Oturum sayısını girin</t>
      </text>
    </comment>
    <comment authorId="0" ref="E27">
      <text>
        <t xml:space="preserve">Ek masraf varsa girin</t>
      </text>
    </comment>
    <comment authorId="0" ref="C28">
      <text>
        <t xml:space="preserve">Oturum sayısını girin</t>
      </text>
    </comment>
    <comment authorId="0" ref="E28">
      <text>
        <t xml:space="preserve">Ek masraf varsa girin</t>
      </text>
    </comment>
    <comment authorId="0" ref="C29">
      <text>
        <t xml:space="preserve">Oturum sayısını girin</t>
      </text>
    </comment>
    <comment authorId="0" ref="E29">
      <text>
        <t xml:space="preserve">Ek masraf varsa girin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6">
      <text>
        <t xml:space="preserve">300 TL × %4 = 12 TL/oturum komisyon kesilir.</t>
      </text>
    </comment>
    <comment authorId="0" ref="G6">
      <text>
        <t xml:space="preserve">Brüt gelir - komisyon - KDV = elde kalan net.</t>
      </text>
    </comment>
    <comment authorId="0" ref="M6">
      <text>
        <t xml:space="preserve">Kâr + HK geliri. Vergiler yıl sonunda düşülür.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Giderin ait olduğu ay. Aylık giderlerde boş bırakın. Tek sefer giderlerde ay girin → nakit akışında o aya düşer.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Müşteriden alınan 10 dakikalık oturum ücreti. KDV bu fiyatın içinde. Değiştirilebilir.</t>
      </text>
    </comment>
    <comment authorId="0" ref="B5">
      <text>
        <t xml:space="preserve">Türkiye genel KDV oranı. Eğer oran değişirse buradan güncellenir, tüm hesaplamalar otomatik değişir.</t>
      </text>
    </comment>
    <comment authorId="0" ref="B6">
      <text>
        <t xml:space="preserve">FORMÜL: B4 / (1 + B5/100)
Örnek: 300 / 1.20 = 250 TL
KDV çıkarılmış net gelir. DEĞİŞTİRMEYİN.</t>
      </text>
    </comment>
    <comment authorId="0" ref="B7">
      <text>
        <t xml:space="preserve">FORMÜL: B4 - B6
Örnek: 300 - 250 = 50 TL
Her oturumda devlete ödenecek KDV miktarı. DEĞİŞTİRMEYİN.</t>
      </text>
    </comment>
    <comment authorId="0" ref="B8">
      <text>
        <t xml:space="preserve">Sabit kurumlar vergisi oranı.</t>
      </text>
    </comment>
    <comment authorId="0" ref="B9">
      <text>
        <t xml:space="preserve">Dolar kuru. Yatırım sayfasında USD cinsinden alımlar bu kurla TL'ye çevrilir.</t>
      </text>
    </comment>
    <comment authorId="0" ref="B10">
      <text>
        <t xml:space="preserve">Alp'in ortaklık yüzdesi. Net kâr bu oranla bölünür. B10+B11 = 100 olmalı.</t>
      </text>
    </comment>
    <comment authorId="0" ref="B11">
      <text>
        <t xml:space="preserve">NextGenBox ortaklık yüzdesi. B10+B11 = 100 olmalı.</t>
      </text>
    </comment>
    <comment authorId="0" ref="B12">
      <text>
        <t xml:space="preserve">Yıllık projeksiyon ay sayısı. Özet sayfasındaki ortalama hesaplarda kullanılır.</t>
      </text>
    </comment>
    <comment authorId="0" ref="B13">
      <text>
        <t xml:space="preserve">EVET → AVM kirasına %20 KDV eklenir.
HAYIR → kira KDV'siz hesaplanır.
AVM sözleşmenize göre ayarlayın.</t>
      </text>
    </comment>
    <comment authorId="0" ref="B14">
      <text>
        <t xml:space="preserve">İyzico ödeme komisyonu %</t>
      </text>
    </comment>
    <comment authorId="0" ref="B15">
      <text>
        <t xml:space="preserve">Nayax POS komisyonu %</t>
      </text>
    </comment>
    <comment authorId="0" ref="B16">
      <text>
        <t xml:space="preserve">%2+%2=%4 toplam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Yatırım kalemi adı. Serbest metin.</t>
      </text>
    </comment>
    <comment authorId="0" ref="B3">
      <text>
        <t xml:space="preserve">Bu kalemin hangi AVM'ye ait olduğu.</t>
      </text>
    </comment>
    <comment authorId="0" ref="C3">
      <text>
        <t xml:space="preserve">USD ise dolar tutarı, TL ise boş bırakıp E sütununa TL girin.</t>
      </text>
    </comment>
    <comment authorId="0" ref="D3">
      <text>
        <t xml:space="preserve">USD veya TL seçin. USD seçildiğinde E sütunu otomatik kur ile hesaplanır.</t>
      </text>
    </comment>
    <comment authorId="0" ref="E3">
      <text>
        <t xml:space="preserve">TL tutarı. USD ise: döviz × kur. TL ise manuel girilir.
KDV HARİÇ tutardır.</t>
      </text>
    </comment>
    <comment authorId="0" ref="F3">
      <text>
        <t xml:space="preserve">Faturalı → KDV hesaplanır.
Nakit → KDV yok (elden ödeme).</t>
      </text>
    </comment>
    <comment authorId="0" ref="G3">
      <text>
        <t xml:space="preserve">FORMÜL: Faturalı ise E×KDV%, Nakit ise 0.
Devlete ödenecek KDV mahsup hesabında kullanılır.</t>
      </text>
    </comment>
    <comment authorId="0" ref="H3">
      <text>
        <t xml:space="preserve">FORMÜL: E + G = KDV hariç + KDV tutarı
Gerçek cepten çıkan toplam.</t>
      </text>
    </comment>
    <comment authorId="0" ref="I3">
      <text>
        <t xml:space="preserve">Ödeme paylaşım durumu. 50/50, tek taraflı vb. bilgi amaçlıdır.</t>
      </text>
    </comment>
    <comment authorId="0" ref="E5">
      <text>
        <t xml:space="preserve">FORMÜL: 7.500 $ × Parametreler!B9 (kur)
7500 × 38 = 285.000 TL</t>
      </text>
    </comment>
    <comment authorId="0" ref="E6">
      <text>
        <t xml:space="preserve">Depo nakliye ücreti. Nakit ödendiği için KDV yok.</t>
      </text>
    </comment>
    <comment authorId="0" ref="E7">
      <text>
        <t xml:space="preserve">Depodan Bursa AVM'ye nakliye. Nakit.</t>
      </text>
    </comment>
    <comment authorId="0" ref="E8">
      <text>
        <t xml:space="preserve">FORMÜL: SUM(E5:E7)
Bursa'daki tüm yatırım kalemlerinin KDV hariç toplamı.</t>
      </text>
    </comment>
    <comment authorId="0" ref="H8">
      <text>
        <t xml:space="preserve">FORMÜL: SUM(H5:H7)
Bursa toplam maliyet (KDV dahil). Nakit alımlar KDV'siz.</t>
      </text>
    </comment>
    <comment authorId="0" ref="E11">
      <text>
        <t xml:space="preserve">FORMÜL: 3.500 $ × Parametreler!B9 (kur)
3500 × 38 = 133.000 TL
5.000$+KDV fiyattan 3.500$ nakit alındı.</t>
      </text>
    </comment>
    <comment authorId="0" ref="J11">
      <text>
        <t xml:space="preserve">Box Hızla Kirala firması adına satın alındı.
Hızla Kirala, XND Teknoloji'ye her ay 15.000+KDV fatura kesecek.
Bu fatura gidere eklenmez çünkü para ortaklara geri döner.</t>
      </text>
    </comment>
    <comment authorId="0" ref="E12">
      <text>
        <t xml:space="preserve">İzmir'e taşıma, kurulum ve nakliye komple. Nakit.</t>
      </text>
    </comment>
    <comment authorId="0" ref="E13">
      <text>
        <t xml:space="preserve">FORMÜL: SUM(E11:E12)
İzmir yatırım toplamı (KDV hariç).</t>
      </text>
    </comment>
    <comment authorId="0" ref="E16">
      <text>
        <t xml:space="preserve">FORMÜL: E8 + E13
Bursa + İzmir toplam yatırım (KDV hariç).</t>
      </text>
    </comment>
    <comment authorId="0" ref="H16">
      <text>
        <t xml:space="preserve">FORMÜL: H8 + H13
Her iki lokasyonun toplam maliyeti (KDV dahil).</t>
      </text>
    </comment>
    <comment authorId="0" ref="A18">
      <text>
        <t xml:space="preserve">Yeni kalem → bu boş satırları kullanın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AVM'ye ödenen aylık sabit kira tutarı. Sözleşme bedeli.</t>
      </text>
    </comment>
    <comment authorId="0" ref="C3">
      <text>
        <t xml:space="preserve">AVM ortak alan aidatı. Aylık sabit ödeme.</t>
      </text>
    </comment>
    <comment authorId="0" ref="D3">
      <text>
        <t xml:space="preserve">Ciro payı yüzdesi. Brüt gelir ciro eşiğini aştığında bu oran uygulanır.</t>
      </text>
    </comment>
    <comment authorId="0" ref="E3">
      <text>
        <t xml:space="preserve">Ciro payının başladığı gelir eşiği. Gelir bu tutarı geçerse fark × ciro % hesaplanır.</t>
      </text>
    </comment>
    <comment authorId="0" ref="F3">
      <text>
        <t xml:space="preserve">FORMÜL: Parametreler!B13="EVET" ise Kira × KDV%
Kira üzerine KDV. AVM faturasında yansır.</t>
      </text>
    </comment>
    <comment authorId="0" ref="G3">
      <text>
        <t xml:space="preserve">FORMÜL: Kira + Aidat + Kira KDV
Bu AVM'ye her ay ödenen minimum sabit tutar. Ciro payı hariç.</t>
      </text>
    </comment>
    <comment authorId="0" ref="A4">
      <text>
        <t xml:space="preserve">Kira, aidat sabit çekilir. Yeni AVM için boş satırları kullanın.</t>
      </text>
    </comment>
    <comment authorId="0" ref="F4">
      <text>
        <t xml:space="preserve">FORMÜL: IF(B13="EVET", 40.000 × 20/100, 0) = 8.000 TL
Bursa kira KDV'si.</t>
      </text>
    </comment>
    <comment authorId="0" ref="G4">
      <text>
        <t xml:space="preserve">40.000 + 7.500 + 8.000 = 55.500 TL
Bursa'ya her ay minimum ödeme.</t>
      </text>
    </comment>
    <comment authorId="0" ref="G5">
      <text>
        <t xml:space="preserve">30.000 + 1.000 + 6.000 = 37.000 TL
İzmir'e her ay minimum ödeme.</t>
      </text>
    </comment>
    <comment authorId="0" ref="G9">
      <text>
        <t xml:space="preserve">FORMÜL: SUM(G4:G8)
Tüm AVM'lere ödenen aylık toplam sabit maliyet.
55.500 + 37.000 = 92.500 TL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Veri_Girisi'nden çekilen ay bilgisi.</t>
      </text>
    </comment>
    <comment authorId="0" ref="B4">
      <text>
        <t xml:space="preserve">Veri_Girisi'nden çekilen AVM adı.</t>
      </text>
    </comment>
    <comment authorId="0" ref="C4">
      <text>
        <t xml:space="preserve">Veri_Girisi'nden çekilen oturum sayısı.</t>
      </text>
    </comment>
    <comment authorId="0" ref="D4">
      <text>
        <t xml:space="preserve">FORMÜL: Veri_Girisi oturum geliri
Oturum × 300 TL (KDV dahil brüt gelir).</t>
      </text>
    </comment>
    <comment authorId="0" ref="E4">
      <text>
        <t xml:space="preserve">FORMÜL: Brüt Gelir × KDV / (100+KDV)
Örnek: 24.600 × 20/120 = 4.100 TL
Müşteriden tahsil edilen KDV.</t>
      </text>
    </comment>
    <comment authorId="0" ref="F4">
      <text>
        <t xml:space="preserve">FORMÜL: Brüt Gelir - Tahsil KDV
Örnek: 24.600 - 4.100 = 20.500 TL
Gerçek kazanç (KDV hariç).</t>
      </text>
    </comment>
    <comment authorId="0" ref="G4">
      <text>
        <t xml:space="preserve">FORMÜL: VLOOKUP → AVM_Detay kira
AVM'nin aylık sabit kirası otomatik çekilir.</t>
      </text>
    </comment>
    <comment authorId="0" ref="H4">
      <text>
        <t xml:space="preserve">FORMÜL: VLOOKUP → AVM_Detay aidat
AVM ortak alan aidatı.</t>
      </text>
    </comment>
    <comment authorId="0" ref="I4">
      <text>
        <t xml:space="preserve">FORMÜL: Parametreler B13="EVET" ise Kira × KDV%
Kira üzerine eklenen KDV.</t>
      </text>
    </comment>
    <comment authorId="0" ref="J4">
      <text>
        <t xml:space="preserve">FORMÜL: VLOOKUP → AVM_Detay ciro payı %
Brüt gelir eşiği aşarsa bu oran uygulanır.</t>
      </text>
    </comment>
    <comment authorId="0" ref="K4">
      <text>
        <t xml:space="preserve">FORMÜL: VLOOKUP → AVM_Detay ciro eşik
Ciro payının başladığı gelir sınırı.</t>
      </text>
    </comment>
    <comment authorId="0" ref="L4">
      <text>
        <t xml:space="preserve">FORMÜL: IF(Brüt Gelir &gt; Eşik, (Gelir-Eşik) × Ciro%, 0)
Eşik aşılmadıysa 0. Aşıldıysa fark × oran.</t>
      </text>
    </comment>
    <comment authorId="0" ref="M4">
      <text>
        <t xml:space="preserve">FORMÜL: Kira + Aidat + Kira KDV + Ciro Payı
AVM'ye ödenen toplam aylık tutar.</t>
      </text>
    </comment>
    <comment authorId="0" ref="N4">
      <text>
        <t xml:space="preserve">Veri_Girisi'nden çekilen ek masraf.
Kullanıcı girdiyse gelir, girmediyse 0.</t>
      </text>
    </comment>
    <comment authorId="0" ref="O4">
      <text>
        <t xml:space="preserve">FORMÜL: AVM Ödeme + Diğer Masraf
O aydaki toplam gider.</t>
      </text>
    </comment>
    <comment authorId="0" ref="P4">
      <text>
        <t xml:space="preserve">FORMÜL: Net Gelir (KDV hariç) - Toplam Gider
Pozitif = kâr, negatif = zarar.
Vergi öncesi brüt kâr.</t>
      </text>
    </comment>
    <comment authorId="0" ref="N5">
      <text>
        <t xml:space="preserve">Veri_Girisi ek masraf + Giderler sayfası aylık toplam.</t>
      </text>
    </comment>
    <comment authorId="0" ref="N6">
      <text>
        <t xml:space="preserve">Veri_Girisi ek masraf + Giderler sayfası aylık toplam.</t>
      </text>
    </comment>
    <comment authorId="0" ref="N7">
      <text>
        <t xml:space="preserve">Veri_Girisi ek masraf + Giderler sayfası aylık toplam.</t>
      </text>
    </comment>
    <comment authorId="0" ref="N8">
      <text>
        <t xml:space="preserve">Veri_Girisi ek masraf + Giderler sayfası aylık toplam.</t>
      </text>
    </comment>
    <comment authorId="0" ref="N9">
      <text>
        <t xml:space="preserve">Veri_Girisi ek masraf + Giderler sayfası aylık toplam.</t>
      </text>
    </comment>
    <comment authorId="0" ref="N10">
      <text>
        <t xml:space="preserve">Veri_Girisi ek masraf + Giderler sayfası aylık toplam.</t>
      </text>
    </comment>
    <comment authorId="0" ref="N11">
      <text>
        <t xml:space="preserve">Veri_Girisi ek masraf + Giderler sayfası aylık toplam.</t>
      </text>
    </comment>
    <comment authorId="0" ref="N12">
      <text>
        <t xml:space="preserve">Veri_Girisi ek masraf + Giderler sayfası aylık toplam.</t>
      </text>
    </comment>
    <comment authorId="0" ref="N13">
      <text>
        <t xml:space="preserve">Veri_Girisi ek masraf + Giderler sayfası aylık toplam.</t>
      </text>
    </comment>
    <comment authorId="0" ref="N14">
      <text>
        <t xml:space="preserve">Veri_Girisi ek masraf + Giderler sayfası aylık toplam.</t>
      </text>
    </comment>
    <comment authorId="0" ref="N15">
      <text>
        <t xml:space="preserve">Veri_Girisi ek masraf + Giderler sayfası aylık toplam.</t>
      </text>
    </comment>
    <comment authorId="0" ref="N16">
      <text>
        <t xml:space="preserve">Veri_Girisi ek masraf + Giderler sayfası aylık toplam.</t>
      </text>
    </comment>
    <comment authorId="0" ref="N17">
      <text>
        <t xml:space="preserve">Veri_Girisi ek masraf + Giderler sayfası aylık toplam.</t>
      </text>
    </comment>
    <comment authorId="0" ref="N18">
      <text>
        <t xml:space="preserve">Veri_Girisi ek masraf + Giderler sayfası aylık toplam.</t>
      </text>
    </comment>
    <comment authorId="0" ref="N19">
      <text>
        <t xml:space="preserve">Veri_Girisi ek masraf + Giderler sayfası aylık toplam.</t>
      </text>
    </comment>
    <comment authorId="0" ref="N20">
      <text>
        <t xml:space="preserve">Veri_Girisi ek masraf + Giderler sayfası aylık toplam.</t>
      </text>
    </comment>
    <comment authorId="0" ref="N21">
      <text>
        <t xml:space="preserve">Veri_Girisi ek masraf + Giderler sayfası aylık toplam.</t>
      </text>
    </comment>
    <comment authorId="0" ref="N22">
      <text>
        <t xml:space="preserve">Veri_Girisi ek masraf + Giderler sayfası aylık toplam.</t>
      </text>
    </comment>
    <comment authorId="0" ref="N23">
      <text>
        <t xml:space="preserve">Veri_Girisi ek masraf + Giderler sayfası aylık toplam.</t>
      </text>
    </comment>
    <comment authorId="0" ref="N24">
      <text>
        <t xml:space="preserve">Veri_Girisi ek masraf + Giderler sayfası aylık toplam.</t>
      </text>
    </comment>
    <comment authorId="0" ref="N25">
      <text>
        <t xml:space="preserve">Veri_Girisi ek masraf + Giderler sayfası aylık toplam.</t>
      </text>
    </comment>
    <comment authorId="0" ref="N26">
      <text>
        <t xml:space="preserve">Veri_Girisi ek masraf + Giderler sayfası aylık toplam.</t>
      </text>
    </comment>
    <comment authorId="0" ref="N27">
      <text>
        <t xml:space="preserve">Veri_Girisi ek masraf + Giderler sayfası aylık toplam.</t>
      </text>
    </comment>
    <comment authorId="0" ref="N28">
      <text>
        <t xml:space="preserve">Veri_Girisi ek masraf + Giderler sayfası aylık toplam.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FORMÜL: SUMIFS → o ayın toplam brüt geliri (tüm AVM'ler)
KDV dahil nakit girişi.</t>
      </text>
    </comment>
    <comment authorId="0" ref="C3">
      <text>
        <t xml:space="preserve">FORMÜL: SUMIFS → o ayın toplam gideri
Kira + aidat + KDV + diğer masraflar.</t>
      </text>
    </comment>
    <comment authorId="0" ref="D3">
      <text>
        <t xml:space="preserve">FORMÜL: Nakit Giriş - Toplam Gider
O ayki net nakit durumu.</t>
      </text>
    </comment>
    <comment authorId="0" ref="E3">
      <text>
        <t xml:space="preserve">FORMÜL: Net Nakit × Alp%
Alp'in o aydan payına düşen miktar.</t>
      </text>
    </comment>
    <comment authorId="0" ref="F3">
      <text>
        <t xml:space="preserve">FORMÜL: Net Nakit × NextGenBox%
NextGenBox'ın o aydan payına düşen miktar.</t>
      </text>
    </comment>
    <comment authorId="0" ref="G3">
      <text>
        <t xml:space="preserve">FORMÜL: Önceki ay kümülatif + bu ay net nakit
İşin başından bu yana toplam nakit durumu.
Pozitife geçtiği ay = yatırımın dönüş noktası.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Yatirim sayfasından çekilen toplam yatırım (KDV hariç).</t>
      </text>
    </comment>
    <comment authorId="0" ref="C6">
      <text>
        <t xml:space="preserve">Yatirim sayfasından çekilen yatırım KDV toplamı.
Sadece "Faturalı" kalemlerin KDV'si.
Nakit alımlarda KDV = 0.</t>
      </text>
    </comment>
    <comment authorId="0" ref="D6">
      <text>
        <t xml:space="preserve">KDV hariç + KDV = toplam yatırım maliyeti.</t>
      </text>
    </comment>
    <comment authorId="0" ref="B7">
      <text>
        <t xml:space="preserve">%4 komisyon toplamı. Brüt kârdan otomatik düşülmüş.</t>
      </text>
    </comment>
    <comment authorId="0" ref="B10">
      <text>
        <t xml:space="preserve">FORMÜL: SUMIFS → Bursa tüm ayların brüt geliri toplamı.</t>
      </text>
    </comment>
    <comment authorId="0" ref="C10">
      <text>
        <t xml:space="preserve">FORMÜL: SUMIFS → Bursa tahsil edilen KDV toplamı.</t>
      </text>
    </comment>
    <comment authorId="0" ref="F10">
      <text>
        <t xml:space="preserve">FORMÜL: Net Gelir - Toplam Gider
AVM bazında yıllık brüt kâr/zarar.</t>
      </text>
    </comment>
    <comment authorId="0" ref="F12">
      <text>
        <t xml:space="preserve">Tüm AVM'lerin toplam brüt kârı.
Vergi hesabının başlangıç noktası.</t>
      </text>
    </comment>
    <comment authorId="0" ref="B16">
      <text>
        <t xml:space="preserve">Tüm AVM'lerin yıllık tahsil KDV toplamı.</t>
      </text>
    </comment>
    <comment authorId="0" ref="B17">
      <text>
        <t xml:space="preserve">Resmi giderlerin KDV'si + HK fatura KDV'si (3.000×12=36.000 TL)
Her ikisi de tahsil KDV'den mahsup edilir (indirilir).</t>
      </text>
    </comment>
    <comment authorId="0" ref="B18">
      <text>
        <t xml:space="preserve">Yatırım sayfasındaki faturalı alımların KDV'si. İlk yıl mahsup edilir.</t>
      </text>
    </comment>
    <comment authorId="0" ref="C18">
      <text>
        <t xml:space="preserve">Hızla Kirala fatura KDV'si (yıllık). Devlete ayrıca ödenir.</t>
      </text>
    </comment>
    <comment authorId="0" ref="B19">
      <text>
        <t xml:space="preserve">Tahsil KDV - gider KDV indirimi - yatırım KDV indirimi.
HK faturası dahil değil.</t>
      </text>
    </comment>
    <comment authorId="0" ref="B20">
      <text>
        <t xml:space="preserve">FORMÜL: Tahsil KDV - Ödenen KDV
Pozitif → devlete bu kadar KDV ödenir.
Negatif → devletten KDV iadesi alınabilir (devreden KDV).</t>
      </text>
    </comment>
    <comment authorId="0" ref="B22">
      <text>
        <t xml:space="preserve">FORMÜL: IF(Brüt Kâr &gt; 0, Brüt Kâr, 0)
Zararda gelir vergisi çıkmaz. Sadece kârda vergi hesaplanır.</t>
      </text>
    </comment>
    <comment authorId="0" ref="B23">
      <text>
        <t xml:space="preserve">Tüm AVM yıllık net gelir.</t>
      </text>
    </comment>
    <comment authorId="0" ref="C23">
      <text>
        <t xml:space="preserve">Hızla Kirala → XND fatura geliri (yıllık). Gelir vergisi matrahına eklenir.</t>
      </text>
    </comment>
    <comment authorId="0" ref="B24">
      <text>
        <t xml:space="preserve">Resmi giderler + AVM sabit ödemeler + HK fatura (15K×12=180K)
HK faturası resmi gider olarak matrahtan düşülür.
Para geri gelir ama vergi avantajı sağlar.</t>
      </text>
    </comment>
    <comment authorId="0" ref="B25">
      <text>
        <t xml:space="preserve">Net gelir - resmi giderler. HK faturası dahil değil.
Negatifse 0 (zarar).</t>
      </text>
    </comment>
    <comment authorId="0" ref="B26">
      <text>
        <t xml:space="preserve">Matrah × %22. Zarar → 0.</t>
      </text>
    </comment>
    <comment authorId="0" ref="B28">
      <text>
        <t xml:space="preserve">FORMÜL: Brüt Kâr - Gelir Vergisi
Tüm vergiler (KDV + gelir vergisi) sonrası kalan net kâr.
Bu rakam ortaklar arasında paylaşılır.</t>
      </text>
    </comment>
    <comment authorId="0" ref="B29">
      <text>
        <t xml:space="preserve">FORMÜL: Net Kâr × Alp Payı%
Alp'in yıllık net kazancı.</t>
      </text>
    </comment>
    <comment authorId="0" ref="B30">
      <text>
        <t xml:space="preserve">AVM bazlı toplam brüt kâr. HK dahil değil — para direkt ortaklara gelir.</t>
      </text>
    </comment>
    <comment authorId="0" ref="B31">
      <text>
        <t xml:space="preserve">KDV farkı pozitifse devlete ödenir.</t>
      </text>
    </comment>
    <comment authorId="0" ref="B33">
      <text>
        <t xml:space="preserve">Brüt kâr - KDV ödeme - gelir vergisi = ortakların paylaşacağı net tutar.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Aylık net gelir - sabit gider + Hızla Kirala fatura geliri (15K).
HK faturası gider değil, ortaklara dönen gelir.</t>
      </text>
    </comment>
    <comment authorId="0" ref="K7">
      <text>
        <t xml:space="preserve">Ortaklardan birine aylık düşen net kâr.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Bursa 55.500 + İzmir 37.000 = 92.500 TL/ay.
XND faturası dahil DEĞİL (ortaklara döner).
BAŞABAŞ NEDİR?
Aylık sabit masrafları karşılamak için gereken minimum oturum sayısı.
Bu sayının altında → zarar, üstünde → kâr.
Örnek: 92.500 TL / 250 TL = 370 oturum.
370 oturum yapılırsa masraflar karşılanır, kâr = 0 TL.</t>
      </text>
    </comment>
    <comment authorId="0" ref="B8">
      <text>
        <t xml:space="preserve">Her ay minimum ödenecek tutar.
Bu tutarı karşılayacak kadar oturum yapılmalı.</t>
      </text>
    </comment>
    <comment authorId="0" ref="B12">
      <text>
        <t xml:space="preserve">300×0.96/1.20=240 TL. Komisyon+KDV sonrası net.</t>
      </text>
    </comment>
    <comment authorId="0" ref="B13">
      <text>
        <t xml:space="preserve">FORMÜL: ROUNDUP(Sabit Maliyet / Net Gelir per Oturum)
92.500 / 250 = 370 oturum/ay
2 AVM toplam bu kadar oturum yapılırsa masraflar karşılanır.</t>
      </text>
    </comment>
    <comment authorId="0" ref="B14">
      <text>
        <t xml:space="preserve">FORMÜL: ROUNDUP(370 / 2) = 185
Her AVM'nin aylık minimum hedefi.
Günlük ~6 oturum.</t>
      </text>
    </comment>
    <comment authorId="0" ref="B16">
      <text>
        <t xml:space="preserve">Yatirim sayfasından toplam yatırım maliyeti.
Bu tutarın geri dönmesi için net kâr birikmeli.</t>
      </text>
    </comment>
    <comment authorId="0" ref="B17">
      <text>
        <t xml:space="preserve">FORMÜL: Yatırım / (Aylık Net Kâr)
Aylık kâr pozitifse kaç ayda yatırım geri döner.
Henüz kâr yoksa "-" gösterir.</t>
      </text>
    </comment>
    <comment authorId="0" ref="A20">
      <text>
        <t xml:space="preserve">Farklı oturum sayılarında aylık ne olur?
Yeşil = kâr, kırmızı = zarar.</t>
      </text>
    </comment>
    <comment authorId="0" ref="B20">
      <text>
        <t xml:space="preserve">FORMÜL: Oturum × 250 TL (net fiyat)
O oturum sayısında aylık toplam net gelir.</t>
      </text>
    </comment>
    <comment authorId="0" ref="C20">
      <text>
        <t xml:space="preserve">Sabit maliyet = B8 (92.500 TL)
Her senaryoda aynı.</t>
      </text>
    </comment>
    <comment authorId="0" ref="D20">
      <text>
        <t xml:space="preserve">FORMÜL: Net Gelir - Sabit Maliyet
Pozitif → kâr, negatif → zarar.
370+ oturum = kâra geçiş.</t>
      </text>
    </comment>
  </commentList>
</comments>
</file>

<file path=xl/sharedStrings.xml><?xml version="1.0" encoding="utf-8"?>
<sst xmlns="http://schemas.openxmlformats.org/spreadsheetml/2006/main" count="411" uniqueCount="282">
  <si>
    <t xml:space="preserve">  NextGenBox</t>
  </si>
  <si>
    <t>YATIRIM</t>
  </si>
  <si>
    <t>Yatırım (KDV Hariç)</t>
  </si>
  <si>
    <t>Yatırım (KDV Dahil)</t>
  </si>
  <si>
    <t xml:space="preserve">  Bursa</t>
  </si>
  <si>
    <t xml:space="preserve">  İzmir</t>
  </si>
  <si>
    <t>GELİR</t>
  </si>
  <si>
    <t>Brüt Gelir (KDV Dahil)</t>
  </si>
  <si>
    <t>Tahsil KDV</t>
  </si>
  <si>
    <t>Net Gelir (KDV Hariç)</t>
  </si>
  <si>
    <t>GİDER</t>
  </si>
  <si>
    <t>Sabit AVM Ödemeleri</t>
  </si>
  <si>
    <t>Diğer Giderler + Masraflar</t>
  </si>
  <si>
    <t>Toplam Gider</t>
  </si>
  <si>
    <t>VERGİ &amp; KAR</t>
  </si>
  <si>
    <t>Brüt Kar (Vergi Öncesi)</t>
  </si>
  <si>
    <t>Kurumlar Vergisi (%22)</t>
  </si>
  <si>
    <t>NET KAR (Vergiler Sonrası)</t>
  </si>
  <si>
    <t>ORTAKLIK</t>
  </si>
  <si>
    <t>Alp Net Kar</t>
  </si>
  <si>
    <t>NextGenBox Net Kar</t>
  </si>
  <si>
    <t>PERFORMANS</t>
  </si>
  <si>
    <t>Başabaş Oturum/Ay</t>
  </si>
  <si>
    <t>AVM Başına Başabaş</t>
  </si>
  <si>
    <t>Yatırım Geri Dönüş</t>
  </si>
  <si>
    <t>AVM UYARILARI</t>
  </si>
  <si>
    <t>AVM</t>
  </si>
  <si>
    <t>Aylık Ort. Gelir</t>
  </si>
  <si>
    <t>Durum</t>
  </si>
  <si>
    <t>Bursa Zafer Plaza</t>
  </si>
  <si>
    <t>Mavibahçe</t>
  </si>
  <si>
    <t xml:space="preserve">  NextGenBox  ·  Veri Girişi</t>
  </si>
  <si>
    <t>kabinrapor.com'dan aldığınız oturum sayısını ve varsa ek masrafları girin.</t>
  </si>
  <si>
    <t>Ay</t>
  </si>
  <si>
    <t>Oturum
Sayısı</t>
  </si>
  <si>
    <t>Oturum
Geliri (TL)</t>
  </si>
  <si>
    <t>Diğer
Masraf (TL)</t>
  </si>
  <si>
    <t>Diğer
Açıklama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</si>
  <si>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</si>
  <si>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</si>
  <si>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</si>
  <si>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</si>
  <si>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</si>
  <si>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</si>
  <si>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</si>
  <si>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</si>
  <si>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</si>
  <si>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</si>
  <si>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</si>
  <si>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</si>
  <si>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 xml:space="preserve">  NextGenBox  ·  Aylık Kâr / Zarar Tablosu</t>
  </si>
  <si>
    <t>Gelir, komisyon, gider, HK fatura — tüm kalemler düşülmüş aylık kar/zarar. Vergi yıl sonunda ayrıca hesaplanır.</t>
  </si>
  <si>
    <t>Oturum
(toplam)</t>
  </si>
  <si>
    <t>Brüt Gelir
(KDV Dahil)</t>
  </si>
  <si>
    <t>Komisyon
(iyzico+nayax)</t>
  </si>
  <si>
    <t>Gelir Sonrası
Komisyon</t>
  </si>
  <si>
    <t>Tahsil
KDV</t>
  </si>
  <si>
    <t>Net Gelir
(KDV+Kom. düşük)</t>
  </si>
  <si>
    <t>AVM Sabit
Gider</t>
  </si>
  <si>
    <t>Diğer
Gider</t>
  </si>
  <si>
    <t>Toplam
Gider</t>
  </si>
  <si>
    <t>Brüt Kâr
(V.Öncesi)</t>
  </si>
  <si>
    <t>(kullanılmıyor)</t>
  </si>
  <si>
    <t>Aylık Kâr
/ Zarar</t>
  </si>
  <si>
    <t>Kümülatif</t>
  </si>
  <si>
    <t>TOPLAM</t>
  </si>
  <si>
    <t>YILLIK VERGİ &amp; NET KÂR</t>
  </si>
  <si>
    <t>Yıllık Brüt Kâr (komisyon düşük)</t>
  </si>
  <si>
    <t>Kâr Toplamı (vergi öncesi)</t>
  </si>
  <si>
    <t>(-) Kurumlar Vergisi (%22)</t>
  </si>
  <si>
    <t>(-) KDV (devlete)</t>
  </si>
  <si>
    <t>NET KÂR (Tüm Vergiler Sonrası)</t>
  </si>
  <si>
    <t>Alp Yıllık Net</t>
  </si>
  <si>
    <t>NextGenBox Yıllık Net</t>
  </si>
  <si>
    <t>Alp Aylık Ortalama</t>
  </si>
  <si>
    <t>NextGenBox Aylık Ortalama</t>
  </si>
  <si>
    <t xml:space="preserve">  NextGenBox  ·  Aylık Giderler &amp; Masraf Takibi</t>
  </si>
  <si>
    <t>Resmi gider = vergi matrahından düşülür + KDV mahsup edilir. Gayriresmi = kârdan düşer ama vergi avantajı yok.</t>
  </si>
  <si>
    <t>Gider Adı</t>
  </si>
  <si>
    <t>Tutar
(KDV Hariç)</t>
  </si>
  <si>
    <t>Resmi?</t>
  </si>
  <si>
    <t>KDV %</t>
  </si>
  <si>
    <t>KDV Tutarı</t>
  </si>
  <si>
    <t>Toplam
(KDV Dahil)</t>
  </si>
  <si>
    <t>Frekans</t>
  </si>
  <si>
    <t>Açıklama</t>
  </si>
  <si>
    <t>Tarih
(YYYY-MM)</t>
  </si>
  <si>
    <t>Kamera</t>
  </si>
  <si>
    <t>EVET</t>
  </si>
  <si>
    <t>Tümü</t>
  </si>
  <si>
    <t>tek sefer</t>
  </si>
  <si>
    <t>Nakit alındı — 2.000 TL toplam</t>
  </si>
  <si>
    <t>Branda (İzmir)</t>
  </si>
  <si>
    <t>HAYIR</t>
  </si>
  <si>
    <t>Nakit — 9.000 TL</t>
  </si>
  <si>
    <t>SuperBox</t>
  </si>
  <si>
    <t>aylık</t>
  </si>
  <si>
    <t>Turkcell SuperBox abonelik</t>
  </si>
  <si>
    <t>Kapı Düzeltildi</t>
  </si>
  <si>
    <t>Söz Okuma Ekranı Yapıldı</t>
  </si>
  <si>
    <t>ÖZET</t>
  </si>
  <si>
    <t>Tutar</t>
  </si>
  <si>
    <t>KDV</t>
  </si>
  <si>
    <t>Toplam</t>
  </si>
  <si>
    <t>Aylık Resmi Giderler</t>
  </si>
  <si>
    <t>Aylık Gayriresmi Giderler</t>
  </si>
  <si>
    <t>Tek Sefer Giderler</t>
  </si>
  <si>
    <t>AYLIK TOPLAM</t>
  </si>
  <si>
    <t>HIZLA KİRALA → XND (Vergi Etkisi)</t>
  </si>
  <si>
    <t>Para olarak gider/gelir DEĞİL. Sadece vergi: matrahtan düşülür + KDV mahsup.</t>
  </si>
  <si>
    <t>Parametre</t>
  </si>
  <si>
    <t>Aylık Fatura (KDV Hariç)</t>
  </si>
  <si>
    <t>Hızla Kirala → XND</t>
  </si>
  <si>
    <t>KDV Oranı</t>
  </si>
  <si>
    <t>Aylık KDV</t>
  </si>
  <si>
    <t xml:space="preserve">  NextGenBox  ·  Parametreler</t>
  </si>
  <si>
    <t>Değer</t>
  </si>
  <si>
    <t>Oturum Fiyatı (KDV Dahil)</t>
  </si>
  <si>
    <t>300 TL / 10dk oturum</t>
  </si>
  <si>
    <t>Genel KDV oranı</t>
  </si>
  <si>
    <t>Oturum Fiyatı (KDV Hariç)</t>
  </si>
  <si>
    <t>Otomatik: 250 TL</t>
  </si>
  <si>
    <t>Oturum Başına KDV</t>
  </si>
  <si>
    <t>Otomatik: 50 TL</t>
  </si>
  <si>
    <t>Kurumlar Vergisi Oranı</t>
  </si>
  <si>
    <t>Sabit %22 kurumlar vergisi</t>
  </si>
  <si>
    <t>USD / TRY Kuru</t>
  </si>
  <si>
    <t>Yatırım çevirimi için</t>
  </si>
  <si>
    <t>Alp Payı</t>
  </si>
  <si>
    <t>Ortaklık</t>
  </si>
  <si>
    <t>NextGenBox Payı</t>
  </si>
  <si>
    <t>Rapor Ay Sayısı</t>
  </si>
  <si>
    <t>Projeksiyon süresi</t>
  </si>
  <si>
    <t>Kira Üzerine KDV?</t>
  </si>
  <si>
    <t>EVET → kira KDV eklenir</t>
  </si>
  <si>
    <t>İyzico Komisyon</t>
  </si>
  <si>
    <t>Ödeme sistemi %2</t>
  </si>
  <si>
    <t>Nayax POS Komisyon</t>
  </si>
  <si>
    <t>POS cihazı %2</t>
  </si>
  <si>
    <t>Toplam Komisyon</t>
  </si>
  <si>
    <t>Alp + NGL = 100?</t>
  </si>
  <si>
    <t>VERGİ BİLGİSİ</t>
  </si>
  <si>
    <t>Kurumlar vergisi: Kâr × %22 (sabit). Zarar → 0.</t>
  </si>
  <si>
    <t xml:space="preserve">  NextGenBox  ·  Yatırım &amp; Maliyet</t>
  </si>
  <si>
    <t>Kalem</t>
  </si>
  <si>
    <t>Tutar
(Döviz)</t>
  </si>
  <si>
    <t>Para
Birimi</t>
  </si>
  <si>
    <t>Tutar
(TL, KDV Hariç)</t>
  </si>
  <si>
    <t>KDV
Durumu</t>
  </si>
  <si>
    <t>KDV
Tutarı</t>
  </si>
  <si>
    <t>Pay</t>
  </si>
  <si>
    <t>Not</t>
  </si>
  <si>
    <t>BURSA ZAFER PLAZA</t>
  </si>
  <si>
    <t>Karaoke Box Ünitesi</t>
  </si>
  <si>
    <t>USD</t>
  </si>
  <si>
    <t>Nakit</t>
  </si>
  <si>
    <t>50/50</t>
  </si>
  <si>
    <t>KDV'siz nakit alındı</t>
  </si>
  <si>
    <t>Nakliye → Depo</t>
  </si>
  <si>
    <t>TL</t>
  </si>
  <si>
    <t>Nakliye Depo → Bursa</t>
  </si>
  <si>
    <t>Bursa Toplam</t>
  </si>
  <si>
    <t>MAVİBAHÇE (İZMİR)</t>
  </si>
  <si>
    <t>9.500 USD — Hızla Kirala üzerinden alındı</t>
  </si>
  <si>
    <t>Taşıma+Kurulum+Nakliye</t>
  </si>
  <si>
    <t>İzmir komple</t>
  </si>
  <si>
    <t>İzmir Toplam</t>
  </si>
  <si>
    <t>GENEL TOPLAM</t>
  </si>
  <si>
    <t xml:space="preserve">  NextGenBox  ·  AVM Detayları &amp; Sabit Masraflar</t>
  </si>
  <si>
    <t>AVM Adı</t>
  </si>
  <si>
    <t>Kira (TL/ay)</t>
  </si>
  <si>
    <t>Aidat (TL/ay)</t>
  </si>
  <si>
    <t>Ciro Payı %</t>
  </si>
  <si>
    <t>Ciro Eşik (TL)</t>
  </si>
  <si>
    <t>Kira KDV
(otomatik)</t>
  </si>
  <si>
    <t>Aylık Sabit
Toplam</t>
  </si>
  <si>
    <t>AYLIK SABİT TOPLAM</t>
  </si>
  <si>
    <t xml:space="preserve">  NextGenBox  ·  Hesaplama (Otomatik)</t>
  </si>
  <si>
    <t>Bu sayfa otomatik hesaplanır — düzenlemeyin.</t>
  </si>
  <si>
    <t>Oturum</t>
  </si>
  <si>
    <t>Net Gelir
(KDV Hariç)</t>
  </si>
  <si>
    <t>Kira</t>
  </si>
  <si>
    <t>Aidat</t>
  </si>
  <si>
    <t>Kira KDV</t>
  </si>
  <si>
    <t>Ciro %</t>
  </si>
  <si>
    <t>Ciro Eşik</t>
  </si>
  <si>
    <t>Ciro Payı</t>
  </si>
  <si>
    <t>Sabit AVM
Ödeme</t>
  </si>
  <si>
    <t>Diğer
Masraf</t>
  </si>
  <si>
    <t>Brüt Kar
(V.Öncesi)</t>
  </si>
  <si>
    <t>Komisyon
(%4)</t>
  </si>
  <si>
    <t xml:space="preserve">  NextGenBox  ·  Nakit Akış</t>
  </si>
  <si>
    <t>Nakit Giriş</t>
  </si>
  <si>
    <t>Net Nakit</t>
  </si>
  <si>
    <t>NextGenBox
Payı</t>
  </si>
  <si>
    <t xml:space="preserve">  NextGenBox  ·  Kar Analizi &amp; Vergi</t>
  </si>
  <si>
    <t>YATIRIM ÖZETİ</t>
  </si>
  <si>
    <t>KDV Hariç</t>
  </si>
  <si>
    <t>KDV Dahil</t>
  </si>
  <si>
    <t>Toplam Yatırım</t>
  </si>
  <si>
    <t>Toplam Komisyon (iyzico+nayax)</t>
  </si>
  <si>
    <t>AVM BAZLI YILLIK</t>
  </si>
  <si>
    <t>Brüt Gelir</t>
  </si>
  <si>
    <t>Net Gelir</t>
  </si>
  <si>
    <t>Brüt Kar</t>
  </si>
  <si>
    <t>KDV HESABI (Aylık Bazda × 12 Ay)</t>
  </si>
  <si>
    <t>Tahsil Edilen KDV (müşteriden)</t>
  </si>
  <si>
    <t>İndirilecek KDV (resmi giderlerden)</t>
  </si>
  <si>
    <t>İndirilecek KDV (yatırım faturaları)</t>
  </si>
  <si>
    <t>Devlete Ödenecek Net KDV</t>
  </si>
  <si>
    <t>KURUMLAR VERGİSİ (%22 Sabit)</t>
  </si>
  <si>
    <t>Yıllık Resmi Giderler (matrahtan düşülen)</t>
  </si>
  <si>
    <t>Gelir Vergisi Matrahı</t>
  </si>
  <si>
    <t>Kurumlar Vergisi Tutarı</t>
  </si>
  <si>
    <t>NET KÂR &amp; ORTAKLIK BÖLÜŞÜMÜ</t>
  </si>
  <si>
    <t>Yıllık Brüt Kâr (vergi öncesi)</t>
  </si>
  <si>
    <t>(-) Devlete Ödenecek KDV</t>
  </si>
  <si>
    <t>(-) Gelir Vergisi</t>
  </si>
  <si>
    <t>Alp Net Kâr Payı (%50)</t>
  </si>
  <si>
    <t>NextGenBox Net Kâr Payı (%50)</t>
  </si>
  <si>
    <t xml:space="preserve">  NextGenBox  ·  Senaryo Analizi</t>
  </si>
  <si>
    <t>Aylık oturum sayısına göre: gelir, gider, KDV, gelir vergisi ve net kâr. Tüm vergiler dahil.</t>
  </si>
  <si>
    <t>AYLIK &amp; YILLIK SENARYO (2 AVM — Vergiler Dahil)</t>
  </si>
  <si>
    <t>Aylık
Oturum</t>
  </si>
  <si>
    <t>AVM
Başına</t>
  </si>
  <si>
    <t>Aylık Net
Gelir</t>
  </si>
  <si>
    <t>Aylık Sabit
Gider</t>
  </si>
  <si>
    <t>Aylık
Kâr/Zarar</t>
  </si>
  <si>
    <t>Yıllık
Kâr/Zarar</t>
  </si>
  <si>
    <t>Yıllık Gelir
Vergisi</t>
  </si>
  <si>
    <t>Yıllık Net Kâr
(Vergi Sonrası)</t>
  </si>
  <si>
    <t>Alp Payı
(yıllık)</t>
  </si>
  <si>
    <t>NextGenBox
Payı (yıllık)</t>
  </si>
  <si>
    <t>Aylık
Kâr/Kişi</t>
  </si>
  <si>
    <t>MİNİMUM HEDEFLER</t>
  </si>
  <si>
    <t>Başabaş (masraf = gelir)</t>
  </si>
  <si>
    <t>oturum/ay</t>
  </si>
  <si>
    <t>AVM başına</t>
  </si>
  <si>
    <t>Günlük minimum (AVM başına)</t>
  </si>
  <si>
    <t>oturum/gün</t>
  </si>
  <si>
    <t xml:space="preserve">  NextGenBox  ·  Gelir/Gider Analizi</t>
  </si>
  <si>
    <t>AYLIK SABİT (2 AVM)</t>
  </si>
  <si>
    <t>Kira + Aidat + Kira KDV (2 AVM toplam)</t>
  </si>
  <si>
    <t>TOPLAM AYLIK SABİT</t>
  </si>
  <si>
    <t>BAŞABAŞ</t>
  </si>
  <si>
    <t>Net Gelir/Oturum (Komisyon+KDV düşük)</t>
  </si>
  <si>
    <t>Toplam Başabaş Oturum/Ay</t>
  </si>
  <si>
    <t>Geri Dönüş (ay)</t>
  </si>
  <si>
    <t>SENARYO</t>
  </si>
  <si>
    <t>Toplam Oturum
(aylık)</t>
  </si>
  <si>
    <t>Sabit Maliyet</t>
  </si>
  <si>
    <t>Kar/Zarar</t>
  </si>
  <si>
    <t>BAŞABAŞ NEDİR?</t>
  </si>
  <si>
    <t>Başabaş (Break-Even) = gelirin gidere eşit olduğu nokta.</t>
  </si>
  <si>
    <t>Bu noktanın altında zarar, üstünde kâr edersiniz.</t>
  </si>
  <si>
    <t>Hesaplama: Aylık Sabit Gider ÷ Oturum Başına Net Gelir</t>
  </si>
  <si>
    <t>Örnek: 92.500 ÷ 240 = 386 oturum/ay (komisyon dahil)</t>
  </si>
  <si>
    <t>370 oturum = 2 AVM toplam. AVM başına 185, günlük ~6.</t>
  </si>
  <si>
    <t xml:space="preserve">  NextGenBox  ·  Kullanım Rehberi</t>
  </si>
  <si>
    <t>VERİ GİRİŞİ (tek yapmanız gereken)</t>
  </si>
  <si>
    <t>1</t>
  </si>
  <si>
    <t>Veri_Girisi sayfasını açın</t>
  </si>
  <si>
    <t>2</t>
  </si>
  <si>
    <t>C sütunu (sarı) → oturum sayısı (kabinrapor.com'dan)</t>
  </si>
  <si>
    <t>3</t>
  </si>
  <si>
    <t>E sütunu (sarı) → varsa ek masraf (yoksa boş bırakın)</t>
  </si>
  <si>
    <t>4</t>
  </si>
  <si>
    <t>F sütunu → ek masraf açıklaması</t>
  </si>
  <si>
    <t>OTOMATİK HESAPLANAN</t>
  </si>
  <si>
    <t>Hesaplama → kira, aidat, KDV, ciro payı otomatik AVM_Detay'dan çekilir</t>
  </si>
  <si>
    <t>Kar_Analizi → KDV hesabı, gelir vergisi, net kar</t>
  </si>
  <si>
    <t>Nakit_Akis → aylık nakit akış ve kümülatif</t>
  </si>
  <si>
    <t>Ozet → tüm KPI'lar tek bakışta</t>
  </si>
  <si>
    <t>RENK KODLARI</t>
  </si>
  <si>
    <t>🟡 Sarı + 🔵 Mavi = Düzenleyebilirsiniz</t>
  </si>
  <si>
    <t>🟢 Yeşil yazı = Başka sayfadan formül</t>
  </si>
  <si>
    <t>⬛ Siyah = Hesaplama formülü</t>
  </si>
  <si>
    <t>HIZLA KİRALA FATURA</t>
  </si>
  <si>
    <t>Giderler sayfasının alt kısmında "Hızla Kirala" bölümü var.</t>
  </si>
  <si>
    <t>Fatura tutarını (15K) ve KDV oranını (%20) orada değiştirebilirsiniz.</t>
  </si>
  <si>
    <t>Etkisi otomatik: KDV devlete ödenir + gelir vergisi matrahına eklenir.</t>
  </si>
  <si>
    <t>Para ortaklara döndüğü için gidere dahil DEĞİLDİR.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</si>
</sst>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&quot; TL&quot;"/>
    <numFmt numFmtId="165" formatCode="#,##0&quot; TL&quot;;\(#,##0&quot; TL)&quot;;\-"/>
    <numFmt numFmtId="166" formatCode="0&quot; ay&quot;"/>
    <numFmt numFmtId="167" formatCode="0\%"/>
    <numFmt numFmtId="168" formatCode="#,##0.00&quot; TL&quot;"/>
    <numFmt numFmtId="169" formatCode="#,##0&quot; $&quot;"/>
  </numFmts>
  <fonts count="26">
    <font>
      <sz val="11.0"/>
      <color theme="1"/>
      <name val="Calibri"/>
      <scheme val="minor"/>
    </font>
    <font>
      <b/>
      <sz val="15.0"/>
      <color rgb="FFD4A84B"/>
      <name val="Calibri"/>
    </font>
    <font/>
    <font>
      <sz val="11.0"/>
      <color theme="1"/>
      <name val="Calibri"/>
    </font>
    <font>
      <b/>
      <sz val="11.0"/>
      <color rgb="FF1C2333"/>
      <name val="Calibri"/>
    </font>
    <font>
      <sz val="10.0"/>
      <color rgb="FF2D333B"/>
      <name val="Calibri"/>
    </font>
    <font>
      <sz val="10.0"/>
      <color rgb="FF0A6847"/>
      <name val="Calibri"/>
    </font>
    <font>
      <b/>
      <sz val="14.0"/>
      <color rgb="FF1C2333"/>
      <name val="Calibri"/>
    </font>
    <font>
      <b/>
      <sz val="9.0"/>
      <color rgb="FFFFFFFF"/>
      <name val="Calibri"/>
    </font>
    <font>
      <sz val="10.0"/>
      <color rgb="FF2C3345"/>
      <name val="Calibri"/>
    </font>
    <font>
      <sz val="10.0"/>
      <color rgb="FF0B7A5C"/>
      <name val="Calibri"/>
    </font>
    <font>
      <b/>
      <sz val="10.0"/>
      <color rgb="FF2C3345"/>
      <name val="Calibri"/>
    </font>
    <font>
      <i/>
      <sz val="9.0"/>
      <color rgb="FF8B949E"/>
      <name val="Calibri"/>
    </font>
    <font>
      <b/>
      <sz val="10.0"/>
      <color rgb="FF0550AE"/>
      <name val="Calibri"/>
    </font>
    <font>
      <b/>
      <sz val="15.0"/>
      <color rgb="FFC9A84C"/>
      <name val="Calibri"/>
    </font>
    <font>
      <i/>
      <sz val="9.0"/>
      <color rgb="FF8893A4"/>
      <name val="Calibri"/>
    </font>
    <font>
      <b/>
      <sz val="10.0"/>
      <color rgb="FFFFFFFF"/>
      <name val="Calibri"/>
    </font>
    <font>
      <b/>
      <sz val="12.0"/>
      <color rgb="FF1C2333"/>
      <name val="Calibri"/>
    </font>
    <font>
      <b/>
      <sz val="10.0"/>
      <color rgb="FF1246A0"/>
      <name val="Calibri"/>
    </font>
    <font>
      <b/>
      <sz val="10.0"/>
      <color rgb="FF2D333B"/>
      <name val="Calibri"/>
    </font>
    <font>
      <b/>
      <sz val="11.0"/>
      <color rgb="FFD4A84B"/>
      <name val="Calibri"/>
    </font>
    <font>
      <b/>
      <sz val="10.0"/>
      <color rgb="FFD4A84B"/>
      <name val="Calibri"/>
    </font>
    <font>
      <b/>
      <sz val="12.0"/>
      <color rgb="FF1B2A4A"/>
      <name val="Calibri"/>
    </font>
    <font>
      <b/>
      <sz val="16.0"/>
      <color rgb="FF1B2A4A"/>
      <name val="Calibri"/>
    </font>
    <font>
      <b/>
      <sz val="10.0"/>
      <color rgb="FFC9A84C"/>
      <name val="Calibri"/>
    </font>
    <font>
      <b/>
      <sz val="10.0"/>
      <color rgb="FFCF222E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161B22"/>
        <bgColor rgb="FF161B22"/>
      </patternFill>
    </fill>
    <fill>
      <patternFill patternType="solid">
        <fgColor rgb="FFD4A84B"/>
        <bgColor rgb="FFD4A84B"/>
      </patternFill>
    </fill>
    <fill>
      <patternFill patternType="solid">
        <fgColor rgb="FFF5F3ED"/>
        <bgColor rgb="FFF5F3ED"/>
      </patternFill>
    </fill>
    <fill>
      <patternFill patternType="solid">
        <fgColor rgb="FFE8EDF4"/>
        <bgColor rgb="FFE8EDF4"/>
      </patternFill>
    </fill>
    <fill>
      <patternFill patternType="solid">
        <fgColor rgb="FF21262D"/>
        <bgColor rgb="FF21262D"/>
      </patternFill>
    </fill>
    <fill>
      <patternFill patternType="solid">
        <fgColor rgb="FFFFFFFF"/>
        <bgColor rgb="FFFFFFFF"/>
      </patternFill>
    </fill>
    <fill>
      <patternFill patternType="solid">
        <fgColor rgb="FFFFFAEB"/>
        <bgColor rgb="FFFFFAEB"/>
      </patternFill>
    </fill>
    <fill>
      <patternFill patternType="solid">
        <fgColor rgb="FFEDF0F5"/>
        <bgColor rgb="FFEDF0F5"/>
      </patternFill>
    </fill>
    <fill>
      <patternFill patternType="solid">
        <fgColor rgb="FF1C2333"/>
        <bgColor rgb="FF1C2333"/>
      </patternFill>
    </fill>
    <fill>
      <patternFill patternType="solid">
        <fgColor rgb="FFC9A84C"/>
        <bgColor rgb="FFC9A84C"/>
      </patternFill>
    </fill>
    <fill>
      <patternFill patternType="solid">
        <fgColor rgb="FF1B2A4A"/>
        <bgColor rgb="FF1B2A4A"/>
      </patternFill>
    </fill>
    <fill>
      <patternFill patternType="solid">
        <fgColor rgb="FFFFF8E1"/>
        <bgColor rgb="FFFFF8E1"/>
      </patternFill>
    </fill>
    <fill>
      <patternFill patternType="solid">
        <fgColor rgb="FFECF0F8"/>
        <bgColor rgb="FFECF0F8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  <bottom style="medium">
        <color rgb="FFD4A84B"/>
      </bottom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</border>
    <border>
      <left style="thin">
        <color rgb="FF21262D"/>
      </left>
      <right style="thin">
        <color rgb="FF21262D"/>
      </right>
      <top style="medium">
        <color rgb="FFD4A84B"/>
      </top>
      <bottom style="medium">
        <color rgb="FFB8963F"/>
      </bottom>
    </border>
    <border>
      <left style="thin">
        <color rgb="FF21262D"/>
      </left>
      <right style="thin">
        <color rgb="FF21262D"/>
      </right>
      <top style="medium">
        <color rgb="FFC9A84C"/>
      </top>
      <bottom style="medium">
        <color rgb="FFC9A84C"/>
      </bottom>
    </border>
    <border>
      <left/>
      <right/>
      <top/>
      <bottom style="medium">
        <color rgb="FFC9A84C"/>
      </bottom>
    </border>
    <border>
      <left style="thin">
        <color rgb="FF21262D"/>
      </left>
      <right style="thin">
        <color rgb="FF21262D"/>
      </right>
      <top style="medium">
        <color rgb="FFD4A84B"/>
      </top>
      <bottom style="medium">
        <color rgb="FFD4A84B"/>
      </bottom>
    </border>
    <border>
      <bottom style="medium">
        <color rgb="FFC9A84C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3" numFmtId="0" xfId="0" applyAlignment="1" applyBorder="1" applyFill="1" applyFont="1">
      <alignment shrinkToFit="0" vertical="bottom" wrapText="0"/>
    </xf>
    <xf borderId="5" fillId="4" fontId="4" numFmtId="0" xfId="0" applyAlignment="1" applyBorder="1" applyFill="1" applyFont="1">
      <alignment shrinkToFit="0" vertical="bottom" wrapText="0"/>
    </xf>
    <xf borderId="6" fillId="0" fontId="5" numFmtId="0" xfId="0" applyAlignment="1" applyBorder="1" applyFont="1">
      <alignment horizontal="left" shrinkToFit="0" vertical="center" wrapText="1"/>
    </xf>
    <xf borderId="6" fillId="0" fontId="6" numFmtId="164" xfId="0" applyAlignment="1" applyBorder="1" applyFont="1" applyNumberFormat="1">
      <alignment horizontal="center" shrinkToFit="0" vertical="center" wrapText="1"/>
    </xf>
    <xf borderId="6" fillId="5" fontId="4" numFmtId="0" xfId="0" applyAlignment="1" applyBorder="1" applyFill="1" applyFont="1">
      <alignment horizontal="left" shrinkToFit="0" vertical="center" wrapText="1"/>
    </xf>
    <xf borderId="6" fillId="5" fontId="7" numFmtId="164" xfId="0" applyAlignment="1" applyBorder="1" applyFont="1" applyNumberFormat="1">
      <alignment horizontal="center" shrinkToFit="0" vertical="center" wrapText="1"/>
    </xf>
    <xf borderId="6" fillId="0" fontId="6" numFmtId="165" xfId="0" applyAlignment="1" applyBorder="1" applyFont="1" applyNumberFormat="1">
      <alignment horizontal="center" shrinkToFit="0" vertical="center" wrapText="1"/>
    </xf>
    <xf borderId="6" fillId="5" fontId="7" numFmtId="165" xfId="0" applyAlignment="1" applyBorder="1" applyFont="1" applyNumberFormat="1">
      <alignment horizontal="center" shrinkToFit="0" vertical="center" wrapText="1"/>
    </xf>
    <xf borderId="6" fillId="5" fontId="7" numFmtId="3" xfId="0" applyAlignment="1" applyBorder="1" applyFont="1" applyNumberFormat="1">
      <alignment horizontal="center" shrinkToFit="0" vertical="center" wrapText="1"/>
    </xf>
    <xf borderId="6" fillId="5" fontId="7" numFmtId="166" xfId="0" applyAlignment="1" applyBorder="1" applyFont="1" applyNumberFormat="1">
      <alignment horizontal="center" shrinkToFit="0" vertical="center" wrapText="1"/>
    </xf>
    <xf borderId="7" fillId="6" fontId="8" numFmtId="0" xfId="0" applyAlignment="1" applyBorder="1" applyFill="1" applyFont="1">
      <alignment horizontal="center" shrinkToFit="0" vertical="center" wrapText="1"/>
    </xf>
    <xf borderId="6" fillId="7" fontId="9" numFmtId="0" xfId="0" applyAlignment="1" applyBorder="1" applyFill="1" applyFont="1">
      <alignment horizontal="center" shrinkToFit="0" vertical="center" wrapText="1"/>
    </xf>
    <xf borderId="6" fillId="7" fontId="10" numFmtId="164" xfId="0" applyAlignment="1" applyBorder="1" applyFont="1" applyNumberFormat="1">
      <alignment horizontal="center"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shrinkToFit="0" vertical="bottom" wrapText="0"/>
    </xf>
    <xf borderId="4" fillId="7" fontId="3" numFmtId="0" xfId="0" applyAlignment="1" applyBorder="1" applyFont="1">
      <alignment shrinkToFit="0" vertical="bottom" wrapText="0"/>
    </xf>
    <xf borderId="6" fillId="8" fontId="13" numFmtId="3" xfId="0" applyAlignment="1" applyBorder="1" applyFill="1" applyFont="1" applyNumberFormat="1">
      <alignment horizontal="center" shrinkToFit="0" vertical="center" wrapText="1"/>
    </xf>
    <xf borderId="6" fillId="8" fontId="13" numFmtId="164" xfId="0" applyAlignment="1" applyBorder="1" applyFont="1" applyNumberFormat="1">
      <alignment horizontal="center" shrinkToFit="0" vertical="center" wrapText="1"/>
    </xf>
    <xf borderId="6" fillId="8" fontId="13" numFmtId="0" xfId="0" applyAlignment="1" applyBorder="1" applyFont="1">
      <alignment horizontal="center" shrinkToFit="0" vertical="center" wrapText="1"/>
    </xf>
    <xf borderId="6" fillId="9" fontId="9" numFmtId="0" xfId="0" applyAlignment="1" applyBorder="1" applyFill="1" applyFont="1">
      <alignment horizontal="center" shrinkToFit="0" vertical="center" wrapText="1"/>
    </xf>
    <xf borderId="6" fillId="9" fontId="10" numFmtId="164" xfId="0" applyAlignment="1" applyBorder="1" applyFont="1" applyNumberFormat="1">
      <alignment horizontal="center" shrinkToFit="0" vertical="center" wrapText="1"/>
    </xf>
    <xf borderId="1" fillId="10" fontId="14" numFmtId="0" xfId="0" applyAlignment="1" applyBorder="1" applyFill="1" applyFont="1">
      <alignment horizontal="left" shrinkToFit="0" vertical="center" wrapText="1"/>
    </xf>
    <xf borderId="4" fillId="11" fontId="3" numFmtId="0" xfId="0" applyAlignment="1" applyBorder="1" applyFill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8" fillId="6" fontId="8" numFmtId="0" xfId="0" applyAlignment="1" applyBorder="1" applyFont="1">
      <alignment horizontal="center" shrinkToFit="0" vertical="center" wrapText="1"/>
    </xf>
    <xf borderId="6" fillId="7" fontId="6" numFmtId="3" xfId="0" applyAlignment="1" applyBorder="1" applyFont="1" applyNumberFormat="1">
      <alignment horizontal="center" shrinkToFit="0" vertical="center" wrapText="1"/>
    </xf>
    <xf borderId="6" fillId="7" fontId="6" numFmtId="164" xfId="0" applyAlignment="1" applyBorder="1" applyFont="1" applyNumberFormat="1">
      <alignment horizontal="center" shrinkToFit="0" vertical="center" wrapText="1"/>
    </xf>
    <xf borderId="6" fillId="7" fontId="9" numFmtId="164" xfId="0" applyAlignment="1" applyBorder="1" applyFont="1" applyNumberFormat="1">
      <alignment horizontal="center" shrinkToFit="0" vertical="center" wrapText="1"/>
    </xf>
    <xf borderId="6" fillId="7" fontId="9" numFmtId="165" xfId="0" applyAlignment="1" applyBorder="1" applyFont="1" applyNumberFormat="1">
      <alignment horizontal="center" shrinkToFit="0" vertical="center" wrapText="1"/>
    </xf>
    <xf borderId="6" fillId="7" fontId="11" numFmtId="165" xfId="0" applyAlignment="1" applyBorder="1" applyFont="1" applyNumberFormat="1">
      <alignment horizontal="center" shrinkToFit="0" vertical="center" wrapText="1"/>
    </xf>
    <xf borderId="6" fillId="9" fontId="6" numFmtId="3" xfId="0" applyAlignment="1" applyBorder="1" applyFont="1" applyNumberFormat="1">
      <alignment horizontal="center" shrinkToFit="0" vertical="center" wrapText="1"/>
    </xf>
    <xf borderId="6" fillId="9" fontId="6" numFmtId="164" xfId="0" applyAlignment="1" applyBorder="1" applyFont="1" applyNumberFormat="1">
      <alignment horizontal="center" shrinkToFit="0" vertical="center" wrapText="1"/>
    </xf>
    <xf borderId="6" fillId="9" fontId="9" numFmtId="164" xfId="0" applyAlignment="1" applyBorder="1" applyFont="1" applyNumberFormat="1">
      <alignment horizontal="center" shrinkToFit="0" vertical="center" wrapText="1"/>
    </xf>
    <xf borderId="6" fillId="9" fontId="9" numFmtId="165" xfId="0" applyAlignment="1" applyBorder="1" applyFont="1" applyNumberFormat="1">
      <alignment horizontal="center" shrinkToFit="0" vertical="center" wrapText="1"/>
    </xf>
    <xf borderId="6" fillId="9" fontId="11" numFmtId="165" xfId="0" applyAlignment="1" applyBorder="1" applyFont="1" applyNumberFormat="1">
      <alignment horizontal="center" shrinkToFit="0" vertical="center" wrapText="1"/>
    </xf>
    <xf borderId="6" fillId="10" fontId="16" numFmtId="0" xfId="0" applyAlignment="1" applyBorder="1" applyFont="1">
      <alignment horizontal="center" shrinkToFit="0" vertical="center" wrapText="1"/>
    </xf>
    <xf borderId="6" fillId="10" fontId="16" numFmtId="165" xfId="0" applyAlignment="1" applyBorder="1" applyFont="1" applyNumberFormat="1">
      <alignment horizontal="center" shrinkToFit="0" vertical="center" wrapText="1"/>
    </xf>
    <xf borderId="9" fillId="4" fontId="17" numFmtId="0" xfId="0" applyAlignment="1" applyBorder="1" applyFont="1">
      <alignment shrinkToFit="0" vertical="bottom" wrapText="0"/>
    </xf>
    <xf borderId="9" fillId="4" fontId="3" numFmtId="0" xfId="0" applyAlignment="1" applyBorder="1" applyFont="1">
      <alignment shrinkToFit="0" vertical="bottom" wrapText="0"/>
    </xf>
    <xf borderId="6" fillId="0" fontId="9" numFmtId="0" xfId="0" applyAlignment="1" applyBorder="1" applyFont="1">
      <alignment horizontal="left" shrinkToFit="0" vertical="center" wrapText="1"/>
    </xf>
    <xf borderId="6" fillId="5" fontId="11" numFmtId="0" xfId="0" applyAlignment="1" applyBorder="1" applyFont="1">
      <alignment horizontal="left" shrinkToFit="0" vertical="center" wrapText="1"/>
    </xf>
    <xf borderId="6" fillId="5" fontId="4" numFmtId="165" xfId="0" applyAlignment="1" applyBorder="1" applyFont="1" applyNumberFormat="1">
      <alignment horizontal="center" shrinkToFit="0" vertical="center" wrapText="1"/>
    </xf>
    <xf borderId="4" fillId="12" fontId="14" numFmtId="0" xfId="0" applyAlignment="1" applyBorder="1" applyFill="1" applyFont="1">
      <alignment horizontal="left" shrinkToFit="0" vertical="center" wrapText="1"/>
    </xf>
    <xf borderId="4" fillId="7" fontId="9" numFmtId="0" xfId="0" applyAlignment="1" applyBorder="1" applyFont="1">
      <alignment shrinkToFit="0" vertical="bottom" wrapText="0"/>
    </xf>
    <xf borderId="6" fillId="13" fontId="11" numFmtId="0" xfId="0" applyAlignment="1" applyBorder="1" applyFill="1" applyFont="1">
      <alignment horizontal="left" shrinkToFit="0" vertical="center" wrapText="1"/>
    </xf>
    <xf borderId="6" fillId="13" fontId="18" numFmtId="164" xfId="0" applyAlignment="1" applyBorder="1" applyFont="1" applyNumberFormat="1">
      <alignment horizontal="center" shrinkToFit="0" vertical="center" wrapText="1"/>
    </xf>
    <xf borderId="6" fillId="13" fontId="18" numFmtId="0" xfId="0" applyAlignment="1" applyBorder="1" applyFont="1">
      <alignment horizontal="center" shrinkToFit="0" vertical="center" wrapText="1"/>
    </xf>
    <xf borderId="6" fillId="13" fontId="18" numFmtId="167" xfId="0" applyAlignment="1" applyBorder="1" applyFont="1" applyNumberFormat="1">
      <alignment horizontal="center" shrinkToFit="0" vertical="center" wrapText="1"/>
    </xf>
    <xf borderId="6" fillId="7" fontId="15" numFmtId="0" xfId="0" applyAlignment="1" applyBorder="1" applyFont="1">
      <alignment horizontal="center" shrinkToFit="0" vertical="center" wrapText="1"/>
    </xf>
    <xf borderId="6" fillId="9" fontId="15" numFmtId="0" xfId="0" applyAlignment="1" applyBorder="1" applyFont="1">
      <alignment horizontal="center" shrinkToFit="0" vertical="center" wrapText="1"/>
    </xf>
    <xf borderId="4" fillId="7" fontId="9" numFmtId="0" xfId="0" applyAlignment="1" applyBorder="1" applyFont="1">
      <alignment horizontal="left" shrinkToFit="0" vertical="center" wrapText="1"/>
    </xf>
    <xf borderId="4" fillId="7" fontId="9" numFmtId="164" xfId="0" applyAlignment="1" applyBorder="1" applyFont="1" applyNumberFormat="1">
      <alignment horizontal="center" shrinkToFit="0" vertical="center" wrapText="1"/>
    </xf>
    <xf borderId="9" fillId="4" fontId="17" numFmtId="0" xfId="0" applyAlignment="1" applyBorder="1" applyFont="1">
      <alignment horizontal="center" shrinkToFit="0" vertical="center" wrapText="1"/>
    </xf>
    <xf borderId="9" fillId="4" fontId="9" numFmtId="164" xfId="0" applyAlignment="1" applyBorder="1" applyFont="1" applyNumberFormat="1">
      <alignment horizontal="center" shrinkToFit="0" vertical="center" wrapText="1"/>
    </xf>
    <xf borderId="9" fillId="4" fontId="9" numFmtId="0" xfId="0" applyAlignment="1" applyBorder="1" applyFont="1">
      <alignment horizontal="center" shrinkToFit="0" vertical="center" wrapText="1"/>
    </xf>
    <xf borderId="6" fillId="5" fontId="6" numFmtId="164" xfId="0" applyAlignment="1" applyBorder="1" applyFont="1" applyNumberFormat="1">
      <alignment horizontal="center" shrinkToFit="0" vertical="center" wrapText="1"/>
    </xf>
    <xf borderId="6" fillId="5" fontId="9" numFmtId="164" xfId="0" applyAlignment="1" applyBorder="1" applyFont="1" applyNumberFormat="1">
      <alignment horizontal="center" shrinkToFit="0" vertical="center" wrapText="1"/>
    </xf>
    <xf borderId="6" fillId="7" fontId="11" numFmtId="0" xfId="0" applyAlignment="1" applyBorder="1" applyFont="1">
      <alignment horizontal="left" shrinkToFit="0" vertical="center" wrapText="1"/>
    </xf>
    <xf borderId="6" fillId="10" fontId="16" numFmtId="164" xfId="0" applyAlignment="1" applyBorder="1" applyFont="1" applyNumberFormat="1">
      <alignment horizontal="center" shrinkToFit="0" vertical="center" wrapText="1"/>
    </xf>
    <xf borderId="9" fillId="4" fontId="9" numFmtId="0" xfId="0" applyAlignment="1" applyBorder="1" applyFont="1">
      <alignment shrinkToFit="0" vertical="bottom" wrapText="0"/>
    </xf>
    <xf borderId="4" fillId="7" fontId="9" numFmtId="0" xfId="0" applyAlignment="1" applyBorder="1" applyFont="1">
      <alignment horizontal="center" shrinkToFit="0" vertical="center" wrapText="1"/>
    </xf>
    <xf borderId="4" fillId="7" fontId="9" numFmtId="167" xfId="0" applyAlignment="1" applyBorder="1" applyFont="1" applyNumberFormat="1">
      <alignment horizontal="center" shrinkToFit="0" vertical="center" wrapText="1"/>
    </xf>
    <xf borderId="8" fillId="6" fontId="8" numFmtId="164" xfId="0" applyAlignment="1" applyBorder="1" applyFont="1" applyNumberFormat="1">
      <alignment horizontal="center" shrinkToFit="0" vertical="center" wrapText="1"/>
    </xf>
    <xf borderId="6" fillId="5" fontId="19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" fillId="8" fontId="13" numFmtId="167" xfId="0" applyAlignment="1" applyBorder="1" applyFont="1" applyNumberFormat="1">
      <alignment horizontal="center" shrinkToFit="0" vertical="center" wrapText="1"/>
    </xf>
    <xf borderId="6" fillId="7" fontId="5" numFmtId="168" xfId="0" applyAlignment="1" applyBorder="1" applyFont="1" applyNumberFormat="1">
      <alignment horizontal="center" shrinkToFit="0" vertical="center" wrapText="1"/>
    </xf>
    <xf borderId="6" fillId="8" fontId="13" numFmtId="4" xfId="0" applyAlignment="1" applyBorder="1" applyFont="1" applyNumberFormat="1">
      <alignment horizontal="center" shrinkToFit="0" vertical="center" wrapText="1"/>
    </xf>
    <xf borderId="6" fillId="8" fontId="13" numFmtId="1" xfId="0" applyAlignment="1" applyBorder="1" applyFont="1" applyNumberFormat="1">
      <alignment horizontal="center" shrinkToFit="0" vertical="center" wrapText="1"/>
    </xf>
    <xf borderId="6" fillId="0" fontId="15" numFmtId="0" xfId="0" applyAlignment="1" applyBorder="1" applyFont="1">
      <alignment horizontal="center" shrinkToFit="0" vertical="center" wrapText="1"/>
    </xf>
    <xf borderId="6" fillId="0" fontId="9" numFmtId="167" xfId="0" applyAlignment="1" applyBorder="1" applyFont="1" applyNumberFormat="1">
      <alignment horizontal="center" shrinkToFit="0" vertical="center" wrapText="1"/>
    </xf>
    <xf borderId="6" fillId="4" fontId="11" numFmtId="0" xfId="0" applyAlignment="1" applyBorder="1" applyFont="1">
      <alignment shrinkToFit="0" vertical="bottom" wrapText="0"/>
    </xf>
    <xf borderId="4" fillId="7" fontId="9" numFmtId="9" xfId="0" applyAlignment="1" applyBorder="1" applyFont="1" applyNumberFormat="1">
      <alignment horizontal="center" shrinkToFit="0" vertical="center" wrapText="1"/>
    </xf>
    <xf borderId="6" fillId="8" fontId="13" numFmtId="169" xfId="0" applyAlignment="1" applyBorder="1" applyFont="1" applyNumberFormat="1">
      <alignment horizontal="center" shrinkToFit="0" vertical="center" wrapText="1"/>
    </xf>
    <xf borderId="6" fillId="9" fontId="11" numFmtId="0" xfId="0" applyAlignment="1" applyBorder="1" applyFont="1">
      <alignment horizontal="center" shrinkToFit="0" vertical="center" wrapText="1"/>
    </xf>
    <xf borderId="10" fillId="10" fontId="16" numFmtId="0" xfId="0" applyAlignment="1" applyBorder="1" applyFont="1">
      <alignment horizontal="center" shrinkToFit="0" vertical="center" wrapText="1"/>
    </xf>
    <xf borderId="10" fillId="10" fontId="16" numFmtId="164" xfId="0" applyAlignment="1" applyBorder="1" applyFont="1" applyNumberFormat="1">
      <alignment horizontal="center" shrinkToFit="0" vertical="center" wrapText="1"/>
    </xf>
    <xf borderId="10" fillId="2" fontId="20" numFmtId="0" xfId="0" applyAlignment="1" applyBorder="1" applyFont="1">
      <alignment horizontal="center" shrinkToFit="0" vertical="center" wrapText="1"/>
    </xf>
    <xf borderId="10" fillId="2" fontId="20" numFmtId="164" xfId="0" applyAlignment="1" applyBorder="1" applyFont="1" applyNumberFormat="1">
      <alignment horizontal="center" shrinkToFit="0" vertical="center" wrapText="1"/>
    </xf>
    <xf borderId="10" fillId="2" fontId="21" numFmtId="0" xfId="0" applyAlignment="1" applyBorder="1" applyFont="1">
      <alignment horizontal="center" shrinkToFit="0" vertical="center" wrapText="1"/>
    </xf>
    <xf borderId="10" fillId="2" fontId="21" numFmtId="164" xfId="0" applyAlignment="1" applyBorder="1" applyFont="1" applyNumberFormat="1">
      <alignment horizontal="center" shrinkToFit="0" vertical="center" wrapText="1"/>
    </xf>
    <xf borderId="4" fillId="4" fontId="3" numFmtId="0" xfId="0" applyAlignment="1" applyBorder="1" applyFont="1">
      <alignment shrinkToFit="0" vertical="bottom" wrapText="0"/>
    </xf>
    <xf borderId="6" fillId="7" fontId="10" numFmtId="0" xfId="0" applyAlignment="1" applyBorder="1" applyFont="1">
      <alignment horizontal="center" shrinkToFit="0" vertical="center" wrapText="1"/>
    </xf>
    <xf borderId="6" fillId="7" fontId="10" numFmtId="3" xfId="0" applyAlignment="1" applyBorder="1" applyFont="1" applyNumberFormat="1">
      <alignment horizontal="center" shrinkToFit="0" vertical="center" wrapText="1"/>
    </xf>
    <xf borderId="6" fillId="7" fontId="10" numFmtId="167" xfId="0" applyAlignment="1" applyBorder="1" applyFont="1" applyNumberFormat="1">
      <alignment horizontal="center" shrinkToFit="0" vertical="center" wrapText="1"/>
    </xf>
    <xf borderId="6" fillId="0" fontId="9" numFmtId="164" xfId="0" applyAlignment="1" applyBorder="1" applyFont="1" applyNumberFormat="1">
      <alignment horizontal="center" shrinkToFit="0" vertical="center" wrapText="1"/>
    </xf>
    <xf borderId="6" fillId="9" fontId="10" numFmtId="0" xfId="0" applyAlignment="1" applyBorder="1" applyFont="1">
      <alignment horizontal="center" shrinkToFit="0" vertical="center" wrapText="1"/>
    </xf>
    <xf borderId="6" fillId="9" fontId="10" numFmtId="3" xfId="0" applyAlignment="1" applyBorder="1" applyFont="1" applyNumberFormat="1">
      <alignment horizontal="center" shrinkToFit="0" vertical="center" wrapText="1"/>
    </xf>
    <xf borderId="6" fillId="9" fontId="10" numFmtId="167" xfId="0" applyAlignment="1" applyBorder="1" applyFont="1" applyNumberFormat="1">
      <alignment horizontal="center" shrinkToFit="0" vertical="center" wrapText="1"/>
    </xf>
    <xf borderId="6" fillId="7" fontId="10" numFmtId="165" xfId="0" applyAlignment="1" applyBorder="1" applyFont="1" applyNumberFormat="1">
      <alignment horizontal="center" shrinkToFit="0" vertical="center" wrapText="1"/>
    </xf>
    <xf borderId="6" fillId="9" fontId="10" numFmtId="165" xfId="0" applyAlignment="1" applyBorder="1" applyFont="1" applyNumberFormat="1">
      <alignment horizontal="center" shrinkToFit="0" vertical="center" wrapText="1"/>
    </xf>
    <xf borderId="10" fillId="10" fontId="16" numFmtId="165" xfId="0" applyAlignment="1" applyBorder="1" applyFont="1" applyNumberFormat="1">
      <alignment horizontal="center" shrinkToFit="0" vertical="center" wrapText="1"/>
    </xf>
    <xf borderId="6" fillId="14" fontId="10" numFmtId="164" xfId="0" applyAlignment="1" applyBorder="1" applyFill="1" applyFont="1" applyNumberFormat="1">
      <alignment horizontal="center" shrinkToFit="0" vertical="center" wrapText="1"/>
    </xf>
    <xf borderId="6" fillId="5" fontId="9" numFmtId="0" xfId="0" applyAlignment="1" applyBorder="1" applyFont="1">
      <alignment horizontal="left" shrinkToFit="0" vertical="center" wrapText="1"/>
    </xf>
    <xf borderId="6" fillId="0" fontId="3" numFmtId="0" xfId="0" applyAlignment="1" applyBorder="1" applyFont="1">
      <alignment shrinkToFit="0" vertical="bottom" wrapText="0"/>
    </xf>
    <xf borderId="6" fillId="7" fontId="9" numFmtId="0" xfId="0" applyAlignment="1" applyBorder="1" applyFont="1">
      <alignment horizontal="left" shrinkToFit="0" vertical="center" wrapText="1"/>
    </xf>
    <xf borderId="4" fillId="7" fontId="15" numFmtId="0" xfId="0" applyAlignment="1" applyBorder="1" applyFont="1">
      <alignment shrinkToFit="0" vertical="bottom" wrapText="0"/>
    </xf>
    <xf borderId="4" fillId="7" fontId="9" numFmtId="165" xfId="0" applyAlignment="1" applyBorder="1" applyFont="1" applyNumberFormat="1">
      <alignment horizontal="center" shrinkToFit="0" vertical="center" wrapText="1"/>
    </xf>
    <xf borderId="6" fillId="7" fontId="6" numFmtId="164" xfId="0" applyAlignment="1" applyBorder="1" applyFont="1" applyNumberFormat="1">
      <alignment horizontal="center" readingOrder="0" shrinkToFit="0" vertical="center" wrapText="1"/>
    </xf>
    <xf borderId="6" fillId="5" fontId="4" numFmtId="164" xfId="0" applyAlignment="1" applyBorder="1" applyFont="1" applyNumberFormat="1">
      <alignment horizontal="center" shrinkToFit="0" vertical="center" wrapText="1"/>
    </xf>
    <xf borderId="9" fillId="4" fontId="17" numFmtId="0" xfId="0" applyAlignment="1" applyBorder="1" applyFont="1">
      <alignment horizontal="left" shrinkToFit="0" vertical="center" wrapText="1"/>
    </xf>
    <xf borderId="9" fillId="4" fontId="9" numFmtId="165" xfId="0" applyAlignment="1" applyBorder="1" applyFont="1" applyNumberFormat="1">
      <alignment horizontal="center" shrinkToFit="0" vertical="center" wrapText="1"/>
    </xf>
    <xf borderId="6" fillId="7" fontId="6" numFmtId="165" xfId="0" applyAlignment="1" applyBorder="1" applyFont="1" applyNumberFormat="1">
      <alignment horizontal="center" shrinkToFit="0" vertical="center" wrapText="1"/>
    </xf>
    <xf borderId="1" fillId="12" fontId="14" numFmtId="0" xfId="0" applyAlignment="1" applyBorder="1" applyFont="1">
      <alignment horizontal="left" shrinkToFit="0" vertical="center" wrapText="1"/>
    </xf>
    <xf borderId="6" fillId="13" fontId="18" numFmtId="3" xfId="0" applyAlignment="1" applyBorder="1" applyFont="1" applyNumberFormat="1">
      <alignment horizontal="center" shrinkToFit="0" vertical="center" wrapText="1"/>
    </xf>
    <xf borderId="6" fillId="7" fontId="9" numFmtId="3" xfId="0" applyAlignment="1" applyBorder="1" applyFont="1" applyNumberFormat="1">
      <alignment horizontal="center" shrinkToFit="0" vertical="center" wrapText="1"/>
    </xf>
    <xf borderId="6" fillId="9" fontId="9" numFmtId="3" xfId="0" applyAlignment="1" applyBorder="1" applyFont="1" applyNumberFormat="1">
      <alignment horizontal="center" shrinkToFit="0" vertical="center" wrapText="1"/>
    </xf>
    <xf borderId="6" fillId="9" fontId="6" numFmtId="165" xfId="0" applyAlignment="1" applyBorder="1" applyFont="1" applyNumberFormat="1">
      <alignment horizontal="center" shrinkToFit="0" vertical="center" wrapText="1"/>
    </xf>
    <xf borderId="6" fillId="0" fontId="10" numFmtId="164" xfId="0" applyAlignment="1" applyBorder="1" applyFont="1" applyNumberFormat="1">
      <alignment horizontal="center" shrinkToFit="0" vertical="center" wrapText="1"/>
    </xf>
    <xf borderId="6" fillId="5" fontId="22" numFmtId="164" xfId="0" applyAlignment="1" applyBorder="1" applyFont="1" applyNumberFormat="1">
      <alignment horizontal="center" shrinkToFit="0" vertical="center" wrapText="1"/>
    </xf>
    <xf borderId="6" fillId="0" fontId="10" numFmtId="168" xfId="0" applyAlignment="1" applyBorder="1" applyFont="1" applyNumberFormat="1">
      <alignment horizontal="center" shrinkToFit="0" vertical="center" wrapText="1"/>
    </xf>
    <xf borderId="6" fillId="5" fontId="23" numFmtId="3" xfId="0" applyAlignment="1" applyBorder="1" applyFont="1" applyNumberFormat="1">
      <alignment horizontal="center" shrinkToFit="0" vertical="center" wrapText="1"/>
    </xf>
    <xf borderId="6" fillId="7" fontId="18" numFmtId="3" xfId="0" applyAlignment="1" applyBorder="1" applyFont="1" applyNumberFormat="1">
      <alignment horizontal="center" shrinkToFit="0" vertical="center" wrapText="1"/>
    </xf>
    <xf borderId="6" fillId="9" fontId="18" numFmtId="3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24" numFmtId="0" xfId="0" applyAlignment="1" applyFont="1">
      <alignment horizontal="center" shrinkToFit="0" vertical="center" wrapText="1"/>
    </xf>
    <xf borderId="11" fillId="0" fontId="17" numFmtId="0" xfId="0" applyAlignment="1" applyBorder="1" applyFont="1">
      <alignment shrinkToFit="0" vertical="bottom" wrapText="0"/>
    </xf>
    <xf borderId="0" fillId="0" fontId="25" numFmtId="0" xfId="0" applyAlignment="1" applyFont="1">
      <alignment horizontal="left" shrinkToFit="0" vertical="center" wrapText="1"/>
    </xf>
  </cellXfs>
  <cellStyles count="1">
    <cellStyle xfId="0" name="Normal" builtinId="0"/>
  </cellStyles>
  <dxfs count="10">
    <dxf>
      <font>
        <b/>
        <sz val="16.0"/>
        <color rgb="FF1B6F3A"/>
        <name val="Calibri"/>
      </font>
      <fill>
        <patternFill patternType="solid">
          <fgColor rgb="FFE8F5E9"/>
          <bgColor rgb="FFE8F5E9"/>
        </patternFill>
      </fill>
      <border/>
    </dxf>
    <dxf>
      <font>
        <b/>
        <sz val="16.0"/>
        <color rgb="FFB91C1C"/>
        <name val="Calibri"/>
      </font>
      <fill>
        <patternFill patternType="solid">
          <fgColor rgb="FFFDECEC"/>
          <bgColor rgb="FFFDECEC"/>
        </patternFill>
      </fill>
      <border/>
    </dxf>
    <dxf>
      <font>
        <b/>
        <sz val="10.0"/>
        <color rgb="FFB91C1C"/>
        <name val="Calibri"/>
      </font>
      <fill>
        <patternFill patternType="solid">
          <fgColor rgb="FFFDECEC"/>
          <bgColor rgb="FFFDECEC"/>
        </patternFill>
      </fill>
      <border/>
    </dxf>
    <dxf>
      <font>
        <b/>
        <sz val="10.0"/>
        <color rgb="FF1B6F3A"/>
        <name val="Calibri"/>
      </font>
      <fill>
        <patternFill patternType="solid">
          <fgColor rgb="FFE8F5E9"/>
          <bgColor rgb="FFE8F5E9"/>
        </patternFill>
      </fill>
      <border/>
    </dxf>
    <dxf>
      <font>
        <b/>
        <sz val="10.0"/>
        <color rgb="FFCF222E"/>
        <name val="Calibri"/>
      </font>
      <fill>
        <patternFill patternType="solid">
          <fgColor rgb="FFFFEBE9"/>
          <bgColor rgb="FFFFEBE9"/>
        </patternFill>
      </fill>
      <border/>
    </dxf>
    <dxf>
      <font>
        <b/>
        <sz val="10.0"/>
        <color rgb="FF116329"/>
        <name val="Calibri"/>
      </font>
      <fill>
        <patternFill patternType="solid">
          <fgColor rgb="FFDAFBE1"/>
          <bgColor rgb="FFDAFBE1"/>
        </patternFill>
      </fill>
      <border/>
    </dxf>
    <dxf>
      <font>
        <b/>
        <sz val="14.0"/>
        <color rgb="FF116329"/>
        <name val="Calibri"/>
      </font>
      <fill>
        <patternFill patternType="solid">
          <fgColor rgb="FFDAFBE1"/>
          <bgColor rgb="FFDAFBE1"/>
        </patternFill>
      </fill>
      <border/>
    </dxf>
    <dxf>
      <font>
        <b/>
        <sz val="14.0"/>
        <color rgb="FFCF222E"/>
        <name val="Calibri"/>
      </font>
      <fill>
        <patternFill patternType="solid">
          <fgColor rgb="FFFFEBE9"/>
          <bgColor rgb="FFFFEBE9"/>
        </patternFill>
      </fill>
      <border/>
    </dxf>
    <dxf>
      <font>
        <b/>
        <sz val="11.0"/>
        <color rgb="FFCF222E"/>
        <name val="Calibri"/>
      </font>
      <fill>
        <patternFill patternType="solid">
          <fgColor rgb="FFFFEBE9"/>
          <bgColor rgb="FFFFEBE9"/>
        </patternFill>
      </fill>
      <border/>
    </dxf>
    <dxf>
      <font>
        <b/>
        <sz val="11.0"/>
        <color rgb="FF116329"/>
        <name val="Calibri"/>
      </font>
      <fill>
        <patternFill patternType="solid">
          <fgColor rgb="FFDAFBE1"/>
          <bgColor rgb="FFDAFBE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24.0"/>
    <col customWidth="1" min="3" max="3" width="22.0"/>
    <col customWidth="1" min="4" max="6" width="8.71"/>
  </cols>
  <sheetData>
    <row r="1" ht="31.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6" t="s">
        <v>1</v>
      </c>
      <c r="B4" s="6"/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7" t="s">
        <v>2</v>
      </c>
      <c r="B5" s="8">
        <f>Yatirim!E16</f>
        <v>796750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9" t="s">
        <v>3</v>
      </c>
      <c r="B6" s="10">
        <f>Yatirim!H16</f>
        <v>840500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7" t="s">
        <v>4</v>
      </c>
      <c r="B7" s="8">
        <f>Yatirim!H8</f>
        <v>349125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7" t="s">
        <v>5</v>
      </c>
      <c r="B8" s="8">
        <f>Yatirim!H13</f>
        <v>491375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6" t="s">
        <v>6</v>
      </c>
      <c r="B10" s="6"/>
      <c r="C10" s="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7" t="s">
        <v>7</v>
      </c>
      <c r="B11" s="8">
        <f>IFERROR(SUM(Hesaplama!D5:D28),0)</f>
        <v>29700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7" t="s">
        <v>8</v>
      </c>
      <c r="B12" s="8">
        <f>IFERROR(SUM(Hesaplama!E5:E28),0)</f>
        <v>4950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9" t="s">
        <v>9</v>
      </c>
      <c r="B13" s="10">
        <f>IFERROR(SUM(Hesaplama!F5:F28),0)</f>
        <v>24750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.5" customHeight="1">
      <c r="A15" s="6" t="s">
        <v>10</v>
      </c>
      <c r="B15" s="6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0" customHeight="1">
      <c r="A16" s="7" t="s">
        <v>11</v>
      </c>
      <c r="B16" s="8">
        <f>IFERROR(SUM(Hesaplama!M5:M28),0)</f>
        <v>1110000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0" customHeight="1">
      <c r="A17" s="7" t="s">
        <v>12</v>
      </c>
      <c r="B17" s="8">
        <f>IFERROR(SUM(Hesaplama!N5:N28),0)</f>
        <v>38435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9" t="s">
        <v>13</v>
      </c>
      <c r="B18" s="10">
        <f>IFERROR(SUM(Hesaplama!O5:O28),0)</f>
        <v>1148435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5.5" customHeight="1">
      <c r="A20" s="6" t="s">
        <v>14</v>
      </c>
      <c r="B20" s="6"/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4.0" customHeight="1">
      <c r="A21" s="7" t="s">
        <v>15</v>
      </c>
      <c r="B21" s="11">
        <f>IFERROR(SUM(Hesaplama!P5:P28),0)</f>
        <v>-1124873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0" customHeight="1">
      <c r="A22" s="7" t="s">
        <v>16</v>
      </c>
      <c r="B22" s="8">
        <f>Kar_Analizi!B26</f>
        <v>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9" t="s">
        <v>17</v>
      </c>
      <c r="B23" s="12">
        <f>Kar_Analizi!B33</f>
        <v>-1123685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5.5" customHeight="1">
      <c r="A25" s="6" t="s">
        <v>18</v>
      </c>
      <c r="B25" s="6"/>
      <c r="C25" s="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9" t="s">
        <v>19</v>
      </c>
      <c r="B26" s="12">
        <f>Kar_Analizi!B35</f>
        <v>-561842.5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9" t="s">
        <v>20</v>
      </c>
      <c r="B27" s="12">
        <f>Kar_Analizi!B36</f>
        <v>-561842.5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5.5" customHeight="1">
      <c r="A29" s="6" t="s">
        <v>21</v>
      </c>
      <c r="B29" s="6"/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9" t="s">
        <v>22</v>
      </c>
      <c r="B30" s="13">
        <f>Basabas!B13</f>
        <v>386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9" t="s">
        <v>23</v>
      </c>
      <c r="B31" s="13">
        <f>Basabas!B14</f>
        <v>193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9" t="s">
        <v>24</v>
      </c>
      <c r="B32" s="14" t="str">
        <f>Basabas!B17</f>
        <v>-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5.5" customHeight="1">
      <c r="A34" s="6" t="s">
        <v>25</v>
      </c>
      <c r="B34" s="6"/>
      <c r="C34" s="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15" t="s">
        <v>26</v>
      </c>
      <c r="B35" s="15" t="s">
        <v>27</v>
      </c>
      <c r="C35" s="15" t="s">
        <v>28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75" customHeight="1">
      <c r="A36" s="16" t="s">
        <v>29</v>
      </c>
      <c r="B36" s="17">
        <f>IFERROR(SUMIFS(Hesaplama!D:D,Hesaplama!B:B,A36)/Parametreler!B12,0)</f>
        <v>1250</v>
      </c>
      <c r="C36" s="18" t="str">
        <f>IFERROR(IF(B36&lt;VLOOKUP(A36,AVM_Detay!A:G,5,FALSE()),"⚠ Eşik altı","✓ OK"),"-")</f>
        <v>⚠ Eşik altı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75" customHeight="1">
      <c r="A37" s="16" t="s">
        <v>30</v>
      </c>
      <c r="B37" s="17">
        <f>IFERROR(SUMIFS(Hesaplama!D:D,Hesaplama!B:B,A37)/Parametreler!B12,0)</f>
        <v>1225</v>
      </c>
      <c r="C37" s="18" t="str">
        <f>IFERROR(IF(B37&lt;VLOOKUP(A37,AVM_Detay!A:G,5,FALSE()),"⚠ Eşik altı","✓ OK"),"-")</f>
        <v>⚠ Eşik altı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conditionalFormatting sqref="B23">
    <cfRule type="cellIs" dxfId="0" priority="1" operator="greaterThanOrEqual">
      <formula>0</formula>
    </cfRule>
  </conditionalFormatting>
  <conditionalFormatting sqref="B23">
    <cfRule type="cellIs" dxfId="1" priority="2" operator="lessThan">
      <formula>0</formula>
    </cfRule>
  </conditionalFormatting>
  <conditionalFormatting sqref="C36">
    <cfRule type="cellIs" dxfId="2" priority="3" operator="equal">
      <formula>"⚠ Eşik altı"</formula>
    </cfRule>
  </conditionalFormatting>
  <conditionalFormatting sqref="C36">
    <cfRule type="cellIs" dxfId="3" priority="4" operator="equal">
      <formula>"✓ OK"</formula>
    </cfRule>
  </conditionalFormatting>
  <conditionalFormatting sqref="C37">
    <cfRule type="cellIs" dxfId="2" priority="5" operator="equal">
      <formula>"⚠ Eşik altı"</formula>
    </cfRule>
  </conditionalFormatting>
  <conditionalFormatting sqref="C37">
    <cfRule type="cellIs" dxfId="3" priority="6" operator="equal">
      <formula>"✓ OK"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13.0"/>
    <col customWidth="1" min="2" max="2" width="22.0"/>
    <col customWidth="1" min="3" max="3" width="13.0"/>
    <col customWidth="1" min="4" max="5" width="16.0"/>
    <col customWidth="1" min="6" max="6" width="30.0"/>
  </cols>
  <sheetData>
    <row r="1" ht="31.5" customHeight="1">
      <c r="A1" s="1" t="s">
        <v>31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5"/>
      <c r="C2" s="5"/>
      <c r="D2" s="5"/>
      <c r="E2" s="5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75" customHeight="1">
      <c r="A3" s="19" t="s">
        <v>32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.5" customHeight="1">
      <c r="A4" s="20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15" t="s">
        <v>33</v>
      </c>
      <c r="B5" s="15" t="s">
        <v>26</v>
      </c>
      <c r="C5" s="15" t="s">
        <v>34</v>
      </c>
      <c r="D5" s="15" t="s">
        <v>35</v>
      </c>
      <c r="E5" s="15" t="s">
        <v>36</v>
      </c>
      <c r="F5" s="15" t="s">
        <v>37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6" t="s">
        <v>38</v>
      </c>
      <c r="B6" s="16" t="s">
        <v>29</v>
      </c>
      <c r="C6" s="21"/>
      <c r="D6" s="17">
        <f>IFERROR(C6*Parametreler!B4,0)</f>
        <v>0</v>
      </c>
      <c r="E6" s="22"/>
      <c r="F6" s="2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24" t="s">
        <v>39</v>
      </c>
      <c r="B7" s="24" t="s">
        <v>29</v>
      </c>
      <c r="C7" s="21"/>
      <c r="D7" s="25">
        <f>IFERROR(C7*Parametreler!B4,0)</f>
        <v>0</v>
      </c>
      <c r="E7" s="22"/>
      <c r="F7" s="2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6" t="s">
        <v>40</v>
      </c>
      <c r="B8" s="16" t="s">
        <v>29</v>
      </c>
      <c r="C8" s="21">
        <v>50.0</v>
      </c>
      <c r="D8" s="17">
        <f>IFERROR(C8*Parametreler!B4,0)</f>
        <v>15000</v>
      </c>
      <c r="E8" s="22"/>
      <c r="F8" s="2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24" t="s">
        <v>41</v>
      </c>
      <c r="B9" s="24" t="s">
        <v>29</v>
      </c>
      <c r="C9" s="21"/>
      <c r="D9" s="25">
        <f>IFERROR(C9*Parametreler!B4,0)</f>
        <v>0</v>
      </c>
      <c r="E9" s="22"/>
      <c r="F9" s="2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6" t="s">
        <v>42</v>
      </c>
      <c r="B10" s="16" t="s">
        <v>29</v>
      </c>
      <c r="C10" s="21"/>
      <c r="D10" s="17">
        <f>IFERROR(C10*Parametreler!B4,0)</f>
        <v>0</v>
      </c>
      <c r="E10" s="22"/>
      <c r="F10" s="2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24" t="s">
        <v>43</v>
      </c>
      <c r="B11" s="24" t="s">
        <v>29</v>
      </c>
      <c r="C11" s="21"/>
      <c r="D11" s="25">
        <f>IFERROR(C11*Parametreler!B4,0)</f>
        <v>0</v>
      </c>
      <c r="E11" s="22"/>
      <c r="F11" s="2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6" t="s">
        <v>44</v>
      </c>
      <c r="B12" s="16" t="s">
        <v>29</v>
      </c>
      <c r="C12" s="21"/>
      <c r="D12" s="17">
        <f>IFERROR(C12*Parametreler!B4,0)</f>
        <v>0</v>
      </c>
      <c r="E12" s="22"/>
      <c r="F12" s="2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24" t="s">
        <v>45</v>
      </c>
      <c r="B13" s="24" t="s">
        <v>29</v>
      </c>
      <c r="C13" s="21"/>
      <c r="D13" s="25">
        <f>IFERROR(C13*Parametreler!B4,0)</f>
        <v>0</v>
      </c>
      <c r="E13" s="22"/>
      <c r="F13" s="2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6" t="s">
        <v>46</v>
      </c>
      <c r="B14" s="16" t="s">
        <v>29</v>
      </c>
      <c r="C14" s="21"/>
      <c r="D14" s="17">
        <f>IFERROR(C14*Parametreler!B4,0)</f>
        <v>0</v>
      </c>
      <c r="E14" s="22"/>
      <c r="F14" s="2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24" t="s">
        <v>47</v>
      </c>
      <c r="B15" s="24" t="s">
        <v>29</v>
      </c>
      <c r="C15" s="21"/>
      <c r="D15" s="25">
        <f>IFERROR(C15*Parametreler!B4,0)</f>
        <v>0</v>
      </c>
      <c r="E15" s="22"/>
      <c r="F15" s="2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16" t="s">
        <v>48</v>
      </c>
      <c r="B16" s="16" t="s">
        <v>29</v>
      </c>
      <c r="C16" s="21"/>
      <c r="D16" s="17">
        <f>IFERROR(C16*Parametreler!B4,0)</f>
        <v>0</v>
      </c>
      <c r="E16" s="22"/>
      <c r="F16" s="2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24" t="s">
        <v>49</v>
      </c>
      <c r="B17" s="24" t="s">
        <v>29</v>
      </c>
      <c r="C17" s="21"/>
      <c r="D17" s="25">
        <f>IFERROR(C17*Parametreler!B4,0)</f>
        <v>0</v>
      </c>
      <c r="E17" s="22"/>
      <c r="F17" s="2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16" t="s">
        <v>38</v>
      </c>
      <c r="B18" s="16" t="s">
        <v>30</v>
      </c>
      <c r="C18" s="21"/>
      <c r="D18" s="17">
        <f>IFERROR(C18*Parametreler!B4,0)</f>
        <v>0</v>
      </c>
      <c r="E18" s="22"/>
      <c r="F18" s="2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24" t="s">
        <v>39</v>
      </c>
      <c r="B19" s="24" t="s">
        <v>30</v>
      </c>
      <c r="C19" s="21"/>
      <c r="D19" s="25">
        <f>IFERROR(C19*Parametreler!B4,0)</f>
        <v>0</v>
      </c>
      <c r="E19" s="22"/>
      <c r="F19" s="2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16" t="s">
        <v>40</v>
      </c>
      <c r="B20" s="16" t="s">
        <v>30</v>
      </c>
      <c r="C20" s="21">
        <v>49.0</v>
      </c>
      <c r="D20" s="17">
        <f>IFERROR(C20*Parametreler!B4,0)</f>
        <v>14700</v>
      </c>
      <c r="E20" s="22"/>
      <c r="F20" s="2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24" t="s">
        <v>41</v>
      </c>
      <c r="B21" s="24" t="s">
        <v>30</v>
      </c>
      <c r="C21" s="21"/>
      <c r="D21" s="25">
        <f>IFERROR(C21*Parametreler!B4,0)</f>
        <v>0</v>
      </c>
      <c r="E21" s="22"/>
      <c r="F21" s="23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16" t="s">
        <v>42</v>
      </c>
      <c r="B22" s="16" t="s">
        <v>30</v>
      </c>
      <c r="C22" s="21"/>
      <c r="D22" s="17">
        <f>IFERROR(C22*Parametreler!B4,0)</f>
        <v>0</v>
      </c>
      <c r="E22" s="22"/>
      <c r="F22" s="23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24" t="s">
        <v>43</v>
      </c>
      <c r="B23" s="24" t="s">
        <v>30</v>
      </c>
      <c r="C23" s="21"/>
      <c r="D23" s="25">
        <f>IFERROR(C23*Parametreler!B4,0)</f>
        <v>0</v>
      </c>
      <c r="E23" s="22"/>
      <c r="F23" s="23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16" t="s">
        <v>44</v>
      </c>
      <c r="B24" s="16" t="s">
        <v>30</v>
      </c>
      <c r="C24" s="21"/>
      <c r="D24" s="17">
        <f>IFERROR(C24*Parametreler!B4,0)</f>
        <v>0</v>
      </c>
      <c r="E24" s="22"/>
      <c r="F24" s="23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24" t="s">
        <v>45</v>
      </c>
      <c r="B25" s="24" t="s">
        <v>30</v>
      </c>
      <c r="C25" s="21"/>
      <c r="D25" s="25">
        <f>IFERROR(C25*Parametreler!B4,0)</f>
        <v>0</v>
      </c>
      <c r="E25" s="22"/>
      <c r="F25" s="23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16" t="s">
        <v>46</v>
      </c>
      <c r="B26" s="16" t="s">
        <v>30</v>
      </c>
      <c r="C26" s="21"/>
      <c r="D26" s="17">
        <f>IFERROR(C26*Parametreler!B4,0)</f>
        <v>0</v>
      </c>
      <c r="E26" s="22"/>
      <c r="F26" s="2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24" t="s">
        <v>47</v>
      </c>
      <c r="B27" s="24" t="s">
        <v>30</v>
      </c>
      <c r="C27" s="21"/>
      <c r="D27" s="25">
        <f>IFERROR(C27*Parametreler!B4,0)</f>
        <v>0</v>
      </c>
      <c r="E27" s="22"/>
      <c r="F27" s="23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16" t="s">
        <v>48</v>
      </c>
      <c r="B28" s="16" t="s">
        <v>30</v>
      </c>
      <c r="C28" s="21"/>
      <c r="D28" s="17">
        <f>IFERROR(C28*Parametreler!B4,0)</f>
        <v>0</v>
      </c>
      <c r="E28" s="22"/>
      <c r="F28" s="23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24" t="s">
        <v>49</v>
      </c>
      <c r="B29" s="24" t="s">
        <v>30</v>
      </c>
      <c r="C29" s="21"/>
      <c r="D29" s="25">
        <f>IFERROR(C29*Parametreler!B4,0)</f>
        <v>0</v>
      </c>
      <c r="E29" s="22"/>
      <c r="F29" s="23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3:F3"/>
  </mergeCells>
  <dataValidations>
    <dataValidation type="list" allowBlank="1" sqref="B6:B29">
      <formula1>AVM_Detay!$A$4:$A$10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15.0"/>
    <col customWidth="1" min="4" max="4" width="14.0"/>
    <col customWidth="1" min="5" max="5" width="15.0"/>
    <col customWidth="1" min="6" max="6" width="13.0"/>
    <col customWidth="1" min="7" max="7" width="15.0"/>
    <col customWidth="1" min="8" max="8" width="14.0"/>
    <col customWidth="1" min="9" max="9" width="12.0"/>
    <col customWidth="1" min="10" max="11" width="14.0"/>
    <col customWidth="1" min="12" max="12" width="13.0"/>
    <col customWidth="1" min="13" max="14" width="14.0"/>
  </cols>
  <sheetData>
    <row r="1" ht="31.5" customHeight="1">
      <c r="A1" s="26" t="s">
        <v>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3.0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ht="15.0" customHeight="1">
      <c r="A3" s="28" t="s">
        <v>51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21.75" customHeight="1">
      <c r="A5" s="29" t="s">
        <v>33</v>
      </c>
      <c r="B5" s="29" t="s">
        <v>52</v>
      </c>
      <c r="C5" s="29" t="s">
        <v>53</v>
      </c>
      <c r="D5" s="29" t="s">
        <v>54</v>
      </c>
      <c r="E5" s="29" t="s">
        <v>55</v>
      </c>
      <c r="F5" s="29" t="s">
        <v>56</v>
      </c>
      <c r="G5" s="29" t="s">
        <v>57</v>
      </c>
      <c r="H5" s="29" t="s">
        <v>58</v>
      </c>
      <c r="I5" s="29" t="s">
        <v>59</v>
      </c>
      <c r="J5" s="29" t="s">
        <v>60</v>
      </c>
      <c r="K5" s="29" t="s">
        <v>61</v>
      </c>
      <c r="L5" s="29" t="s">
        <v>62</v>
      </c>
      <c r="M5" s="29" t="s">
        <v>63</v>
      </c>
      <c r="N5" s="29" t="s">
        <v>64</v>
      </c>
    </row>
    <row r="6" ht="15.0" customHeight="1">
      <c r="A6" s="16" t="s">
        <v>38</v>
      </c>
      <c r="B6" s="30">
        <f>IFERROR(Hesaplama!C5+Hesaplama!C17,0)</f>
        <v>0</v>
      </c>
      <c r="C6" s="31">
        <f>IFERROR(Hesaplama!D5+Hesaplama!D17,0)</f>
        <v>0</v>
      </c>
      <c r="D6" s="32">
        <f>IFERROR(C6*Parametreler!B16/100,0)</f>
        <v>0</v>
      </c>
      <c r="E6" s="32">
        <f t="shared" ref="E6:E17" si="1">IFERROR(C6-D6,0)</f>
        <v>0</v>
      </c>
      <c r="F6" s="32">
        <f>IFERROR(E6*Parametreler!B5/(100+Parametreler!B5),0)</f>
        <v>0</v>
      </c>
      <c r="G6" s="32">
        <f t="shared" ref="G6:G17" si="2">IFERROR(E6-F6,0)</f>
        <v>0</v>
      </c>
      <c r="H6" s="31">
        <f>IFERROR(Hesaplama!M5+Hesaplama!M17,0)</f>
        <v>92500</v>
      </c>
      <c r="I6" s="31">
        <f>IFERROR(Hesaplama!N5+Hesaplama!N17,0)</f>
        <v>2000</v>
      </c>
      <c r="J6" s="32">
        <f t="shared" ref="J6:J17" si="3">IFERROR(H6+I6,0)</f>
        <v>94500</v>
      </c>
      <c r="K6" s="33">
        <f t="shared" ref="K6:K17" si="4">IFERROR(G6-J6,0)</f>
        <v>-94500</v>
      </c>
      <c r="L6" s="31">
        <v>0.0</v>
      </c>
      <c r="M6" s="34">
        <f t="shared" ref="M6:M17" si="5">IFERROR(K6,0)</f>
        <v>-94500</v>
      </c>
      <c r="N6" s="33">
        <f>IFERROR(M6,0)</f>
        <v>-94500</v>
      </c>
    </row>
    <row r="7" ht="15.0" customHeight="1">
      <c r="A7" s="24" t="s">
        <v>39</v>
      </c>
      <c r="B7" s="35">
        <f>IFERROR(Hesaplama!C6+Hesaplama!C18,0)</f>
        <v>0</v>
      </c>
      <c r="C7" s="36">
        <f>IFERROR(Hesaplama!D6+Hesaplama!D18,0)</f>
        <v>0</v>
      </c>
      <c r="D7" s="37">
        <f>IFERROR(C7*Parametreler!B16/100,0)</f>
        <v>0</v>
      </c>
      <c r="E7" s="37">
        <f t="shared" si="1"/>
        <v>0</v>
      </c>
      <c r="F7" s="37">
        <f>IFERROR(E7*Parametreler!B5/(100+Parametreler!B5),0)</f>
        <v>0</v>
      </c>
      <c r="G7" s="37">
        <f t="shared" si="2"/>
        <v>0</v>
      </c>
      <c r="H7" s="36">
        <f>IFERROR(Hesaplama!M6+Hesaplama!M18,0)</f>
        <v>92500</v>
      </c>
      <c r="I7" s="36">
        <f>IFERROR(Hesaplama!N6+Hesaplama!N18,0)</f>
        <v>2000</v>
      </c>
      <c r="J7" s="37">
        <f t="shared" si="3"/>
        <v>94500</v>
      </c>
      <c r="K7" s="38">
        <f t="shared" si="4"/>
        <v>-94500</v>
      </c>
      <c r="L7" s="36">
        <v>0.0</v>
      </c>
      <c r="M7" s="39">
        <f t="shared" si="5"/>
        <v>-94500</v>
      </c>
      <c r="N7" s="38">
        <f t="shared" ref="N7:N17" si="6">IFERROR(N6+M7,0)</f>
        <v>-189000</v>
      </c>
    </row>
    <row r="8" ht="15.0" customHeight="1">
      <c r="A8" s="16" t="s">
        <v>40</v>
      </c>
      <c r="B8" s="30">
        <f>IFERROR(Hesaplama!C7+Hesaplama!C19,0)</f>
        <v>99</v>
      </c>
      <c r="C8" s="31">
        <f>IFERROR(Hesaplama!D7+Hesaplama!D19,0)</f>
        <v>29700</v>
      </c>
      <c r="D8" s="32">
        <f>IFERROR(C8*Parametreler!B16/100,0)</f>
        <v>1188</v>
      </c>
      <c r="E8" s="32">
        <f t="shared" si="1"/>
        <v>28512</v>
      </c>
      <c r="F8" s="32">
        <f>IFERROR(E8*Parametreler!B5/(100+Parametreler!B5),0)</f>
        <v>4752</v>
      </c>
      <c r="G8" s="32">
        <f t="shared" si="2"/>
        <v>23760</v>
      </c>
      <c r="H8" s="31">
        <f>IFERROR(Hesaplama!M7+Hesaplama!M19,0)</f>
        <v>92500</v>
      </c>
      <c r="I8" s="31">
        <f>IFERROR(Hesaplama!N7+Hesaplama!N19,0)</f>
        <v>16435</v>
      </c>
      <c r="J8" s="32">
        <f t="shared" si="3"/>
        <v>108935</v>
      </c>
      <c r="K8" s="33">
        <f t="shared" si="4"/>
        <v>-85175</v>
      </c>
      <c r="L8" s="31">
        <v>0.0</v>
      </c>
      <c r="M8" s="34">
        <f t="shared" si="5"/>
        <v>-85175</v>
      </c>
      <c r="N8" s="33">
        <f t="shared" si="6"/>
        <v>-274175</v>
      </c>
    </row>
    <row r="9" ht="15.0" customHeight="1">
      <c r="A9" s="24" t="s">
        <v>41</v>
      </c>
      <c r="B9" s="35">
        <f>IFERROR(Hesaplama!C8+Hesaplama!C20,0)</f>
        <v>0</v>
      </c>
      <c r="C9" s="36">
        <f>IFERROR(Hesaplama!D8+Hesaplama!D20,0)</f>
        <v>0</v>
      </c>
      <c r="D9" s="37">
        <f>IFERROR(C9*Parametreler!B16/100,0)</f>
        <v>0</v>
      </c>
      <c r="E9" s="37">
        <f t="shared" si="1"/>
        <v>0</v>
      </c>
      <c r="F9" s="37">
        <f>IFERROR(E9*Parametreler!B5/(100+Parametreler!B5),0)</f>
        <v>0</v>
      </c>
      <c r="G9" s="37">
        <f t="shared" si="2"/>
        <v>0</v>
      </c>
      <c r="H9" s="36">
        <f>IFERROR(Hesaplama!M8+Hesaplama!M20,0)</f>
        <v>92500</v>
      </c>
      <c r="I9" s="36">
        <f>IFERROR(Hesaplama!N8+Hesaplama!N20,0)</f>
        <v>2000</v>
      </c>
      <c r="J9" s="37">
        <f t="shared" si="3"/>
        <v>94500</v>
      </c>
      <c r="K9" s="38">
        <f t="shared" si="4"/>
        <v>-94500</v>
      </c>
      <c r="L9" s="36">
        <v>0.0</v>
      </c>
      <c r="M9" s="39">
        <f t="shared" si="5"/>
        <v>-94500</v>
      </c>
      <c r="N9" s="38">
        <f t="shared" si="6"/>
        <v>-368675</v>
      </c>
    </row>
    <row r="10" ht="15.0" customHeight="1">
      <c r="A10" s="16" t="s">
        <v>42</v>
      </c>
      <c r="B10" s="30">
        <f>IFERROR(Hesaplama!C9+Hesaplama!C21,0)</f>
        <v>0</v>
      </c>
      <c r="C10" s="31">
        <f>IFERROR(Hesaplama!D9+Hesaplama!D21,0)</f>
        <v>0</v>
      </c>
      <c r="D10" s="32">
        <f>IFERROR(C10*Parametreler!B16/100,0)</f>
        <v>0</v>
      </c>
      <c r="E10" s="32">
        <f t="shared" si="1"/>
        <v>0</v>
      </c>
      <c r="F10" s="32">
        <f>IFERROR(E10*Parametreler!B5/(100+Parametreler!B5),0)</f>
        <v>0</v>
      </c>
      <c r="G10" s="32">
        <f t="shared" si="2"/>
        <v>0</v>
      </c>
      <c r="H10" s="31">
        <f>IFERROR(Hesaplama!M9+Hesaplama!M21,0)</f>
        <v>92500</v>
      </c>
      <c r="I10" s="31">
        <f>IFERROR(Hesaplama!N9+Hesaplama!N21,0)</f>
        <v>2000</v>
      </c>
      <c r="J10" s="32">
        <f t="shared" si="3"/>
        <v>94500</v>
      </c>
      <c r="K10" s="33">
        <f t="shared" si="4"/>
        <v>-94500</v>
      </c>
      <c r="L10" s="31">
        <v>0.0</v>
      </c>
      <c r="M10" s="34">
        <f t="shared" si="5"/>
        <v>-94500</v>
      </c>
      <c r="N10" s="33">
        <f t="shared" si="6"/>
        <v>-463175</v>
      </c>
    </row>
    <row r="11" ht="15.0" customHeight="1">
      <c r="A11" s="24" t="s">
        <v>43</v>
      </c>
      <c r="B11" s="35">
        <f>IFERROR(Hesaplama!C10+Hesaplama!C22,0)</f>
        <v>0</v>
      </c>
      <c r="C11" s="36">
        <f>IFERROR(Hesaplama!D10+Hesaplama!D22,0)</f>
        <v>0</v>
      </c>
      <c r="D11" s="37">
        <f>IFERROR(C11*Parametreler!B16/100,0)</f>
        <v>0</v>
      </c>
      <c r="E11" s="37">
        <f t="shared" si="1"/>
        <v>0</v>
      </c>
      <c r="F11" s="37">
        <f>IFERROR(E11*Parametreler!B5/(100+Parametreler!B5),0)</f>
        <v>0</v>
      </c>
      <c r="G11" s="37">
        <f t="shared" si="2"/>
        <v>0</v>
      </c>
      <c r="H11" s="36">
        <f>IFERROR(Hesaplama!M10+Hesaplama!M22,0)</f>
        <v>92500</v>
      </c>
      <c r="I11" s="36">
        <f>IFERROR(Hesaplama!N10+Hesaplama!N22,0)</f>
        <v>2000</v>
      </c>
      <c r="J11" s="37">
        <f t="shared" si="3"/>
        <v>94500</v>
      </c>
      <c r="K11" s="38">
        <f t="shared" si="4"/>
        <v>-94500</v>
      </c>
      <c r="L11" s="36">
        <v>0.0</v>
      </c>
      <c r="M11" s="39">
        <f t="shared" si="5"/>
        <v>-94500</v>
      </c>
      <c r="N11" s="38">
        <f t="shared" si="6"/>
        <v>-557675</v>
      </c>
    </row>
    <row r="12" ht="15.0" customHeight="1">
      <c r="A12" s="16" t="s">
        <v>44</v>
      </c>
      <c r="B12" s="30">
        <f>IFERROR(Hesaplama!C11+Hesaplama!C23,0)</f>
        <v>0</v>
      </c>
      <c r="C12" s="31">
        <f>IFERROR(Hesaplama!D11+Hesaplama!D23,0)</f>
        <v>0</v>
      </c>
      <c r="D12" s="32">
        <f>IFERROR(C12*Parametreler!B16/100,0)</f>
        <v>0</v>
      </c>
      <c r="E12" s="32">
        <f t="shared" si="1"/>
        <v>0</v>
      </c>
      <c r="F12" s="32">
        <f>IFERROR(E12*Parametreler!B5/(100+Parametreler!B5),0)</f>
        <v>0</v>
      </c>
      <c r="G12" s="32">
        <f t="shared" si="2"/>
        <v>0</v>
      </c>
      <c r="H12" s="31">
        <f>IFERROR(Hesaplama!M11+Hesaplama!M23,0)</f>
        <v>92500</v>
      </c>
      <c r="I12" s="31">
        <f>IFERROR(Hesaplama!N11+Hesaplama!N23,0)</f>
        <v>2000</v>
      </c>
      <c r="J12" s="32">
        <f t="shared" si="3"/>
        <v>94500</v>
      </c>
      <c r="K12" s="33">
        <f t="shared" si="4"/>
        <v>-94500</v>
      </c>
      <c r="L12" s="31">
        <v>0.0</v>
      </c>
      <c r="M12" s="34">
        <f t="shared" si="5"/>
        <v>-94500</v>
      </c>
      <c r="N12" s="33">
        <f t="shared" si="6"/>
        <v>-652175</v>
      </c>
    </row>
    <row r="13" ht="15.0" customHeight="1">
      <c r="A13" s="24" t="s">
        <v>45</v>
      </c>
      <c r="B13" s="35">
        <f>IFERROR(Hesaplama!C12+Hesaplama!C24,0)</f>
        <v>0</v>
      </c>
      <c r="C13" s="36">
        <f>IFERROR(Hesaplama!D12+Hesaplama!D24,0)</f>
        <v>0</v>
      </c>
      <c r="D13" s="37">
        <f>IFERROR(C13*Parametreler!B16/100,0)</f>
        <v>0</v>
      </c>
      <c r="E13" s="37">
        <f t="shared" si="1"/>
        <v>0</v>
      </c>
      <c r="F13" s="37">
        <f>IFERROR(E13*Parametreler!B5/(100+Parametreler!B5),0)</f>
        <v>0</v>
      </c>
      <c r="G13" s="37">
        <f t="shared" si="2"/>
        <v>0</v>
      </c>
      <c r="H13" s="36">
        <f>IFERROR(Hesaplama!M12+Hesaplama!M24,0)</f>
        <v>92500</v>
      </c>
      <c r="I13" s="36">
        <f>IFERROR(Hesaplama!N12+Hesaplama!N24,0)</f>
        <v>2000</v>
      </c>
      <c r="J13" s="37">
        <f t="shared" si="3"/>
        <v>94500</v>
      </c>
      <c r="K13" s="38">
        <f t="shared" si="4"/>
        <v>-94500</v>
      </c>
      <c r="L13" s="36">
        <v>0.0</v>
      </c>
      <c r="M13" s="39">
        <f t="shared" si="5"/>
        <v>-94500</v>
      </c>
      <c r="N13" s="38">
        <f t="shared" si="6"/>
        <v>-746675</v>
      </c>
    </row>
    <row r="14" ht="15.0" customHeight="1">
      <c r="A14" s="16" t="s">
        <v>46</v>
      </c>
      <c r="B14" s="30">
        <f>IFERROR(Hesaplama!C13+Hesaplama!C25,0)</f>
        <v>0</v>
      </c>
      <c r="C14" s="31">
        <f>IFERROR(Hesaplama!D13+Hesaplama!D25,0)</f>
        <v>0</v>
      </c>
      <c r="D14" s="32">
        <f>IFERROR(C14*Parametreler!B16/100,0)</f>
        <v>0</v>
      </c>
      <c r="E14" s="32">
        <f t="shared" si="1"/>
        <v>0</v>
      </c>
      <c r="F14" s="32">
        <f>IFERROR(E14*Parametreler!B5/(100+Parametreler!B5),0)</f>
        <v>0</v>
      </c>
      <c r="G14" s="32">
        <f t="shared" si="2"/>
        <v>0</v>
      </c>
      <c r="H14" s="31">
        <f>IFERROR(Hesaplama!M13+Hesaplama!M25,0)</f>
        <v>92500</v>
      </c>
      <c r="I14" s="31">
        <f>IFERROR(Hesaplama!N13+Hesaplama!N25,0)</f>
        <v>2000</v>
      </c>
      <c r="J14" s="32">
        <f t="shared" si="3"/>
        <v>94500</v>
      </c>
      <c r="K14" s="33">
        <f t="shared" si="4"/>
        <v>-94500</v>
      </c>
      <c r="L14" s="31">
        <v>0.0</v>
      </c>
      <c r="M14" s="34">
        <f t="shared" si="5"/>
        <v>-94500</v>
      </c>
      <c r="N14" s="33">
        <f t="shared" si="6"/>
        <v>-841175</v>
      </c>
    </row>
    <row r="15" ht="15.0" customHeight="1">
      <c r="A15" s="24" t="s">
        <v>47</v>
      </c>
      <c r="B15" s="35">
        <f>IFERROR(Hesaplama!C14+Hesaplama!C26,0)</f>
        <v>0</v>
      </c>
      <c r="C15" s="36">
        <f>IFERROR(Hesaplama!D14+Hesaplama!D26,0)</f>
        <v>0</v>
      </c>
      <c r="D15" s="37">
        <f>IFERROR(C15*Parametreler!B16/100,0)</f>
        <v>0</v>
      </c>
      <c r="E15" s="37">
        <f t="shared" si="1"/>
        <v>0</v>
      </c>
      <c r="F15" s="37">
        <f>IFERROR(E15*Parametreler!B5/(100+Parametreler!B5),0)</f>
        <v>0</v>
      </c>
      <c r="G15" s="37">
        <f t="shared" si="2"/>
        <v>0</v>
      </c>
      <c r="H15" s="36">
        <f>IFERROR(Hesaplama!M14+Hesaplama!M26,0)</f>
        <v>92500</v>
      </c>
      <c r="I15" s="36">
        <f>IFERROR(Hesaplama!N14+Hesaplama!N26,0)</f>
        <v>2000</v>
      </c>
      <c r="J15" s="37">
        <f t="shared" si="3"/>
        <v>94500</v>
      </c>
      <c r="K15" s="38">
        <f t="shared" si="4"/>
        <v>-94500</v>
      </c>
      <c r="L15" s="36">
        <v>0.0</v>
      </c>
      <c r="M15" s="39">
        <f t="shared" si="5"/>
        <v>-94500</v>
      </c>
      <c r="N15" s="38">
        <f t="shared" si="6"/>
        <v>-935675</v>
      </c>
    </row>
    <row r="16" ht="15.0" customHeight="1">
      <c r="A16" s="16" t="s">
        <v>48</v>
      </c>
      <c r="B16" s="30">
        <f>IFERROR(Hesaplama!C15+Hesaplama!C27,0)</f>
        <v>0</v>
      </c>
      <c r="C16" s="31">
        <f>IFERROR(Hesaplama!D15+Hesaplama!D27,0)</f>
        <v>0</v>
      </c>
      <c r="D16" s="32">
        <f>IFERROR(C16*Parametreler!B16/100,0)</f>
        <v>0</v>
      </c>
      <c r="E16" s="32">
        <f t="shared" si="1"/>
        <v>0</v>
      </c>
      <c r="F16" s="32">
        <f>IFERROR(E16*Parametreler!B5/(100+Parametreler!B5),0)</f>
        <v>0</v>
      </c>
      <c r="G16" s="32">
        <f t="shared" si="2"/>
        <v>0</v>
      </c>
      <c r="H16" s="31">
        <f>IFERROR(Hesaplama!M15+Hesaplama!M27,0)</f>
        <v>92500</v>
      </c>
      <c r="I16" s="31">
        <f>IFERROR(Hesaplama!N15+Hesaplama!N27,0)</f>
        <v>2000</v>
      </c>
      <c r="J16" s="32">
        <f t="shared" si="3"/>
        <v>94500</v>
      </c>
      <c r="K16" s="33">
        <f t="shared" si="4"/>
        <v>-94500</v>
      </c>
      <c r="L16" s="31">
        <v>0.0</v>
      </c>
      <c r="M16" s="34">
        <f t="shared" si="5"/>
        <v>-94500</v>
      </c>
      <c r="N16" s="33">
        <f t="shared" si="6"/>
        <v>-1030175</v>
      </c>
    </row>
    <row r="17" ht="15.0" customHeight="1">
      <c r="A17" s="24" t="s">
        <v>49</v>
      </c>
      <c r="B17" s="35">
        <f>IFERROR(Hesaplama!C16+Hesaplama!C28,0)</f>
        <v>0</v>
      </c>
      <c r="C17" s="36">
        <f>IFERROR(Hesaplama!D16+Hesaplama!D28,0)</f>
        <v>0</v>
      </c>
      <c r="D17" s="37">
        <f>IFERROR(C17*Parametreler!B16/100,0)</f>
        <v>0</v>
      </c>
      <c r="E17" s="37">
        <f t="shared" si="1"/>
        <v>0</v>
      </c>
      <c r="F17" s="37">
        <f>IFERROR(E17*Parametreler!B5/(100+Parametreler!B5),0)</f>
        <v>0</v>
      </c>
      <c r="G17" s="37">
        <f t="shared" si="2"/>
        <v>0</v>
      </c>
      <c r="H17" s="36">
        <f>IFERROR(Hesaplama!M16+Hesaplama!M28,0)</f>
        <v>92500</v>
      </c>
      <c r="I17" s="36">
        <f>IFERROR(Hesaplama!N16+Hesaplama!N28,0)</f>
        <v>2000</v>
      </c>
      <c r="J17" s="37">
        <f t="shared" si="3"/>
        <v>94500</v>
      </c>
      <c r="K17" s="38">
        <f t="shared" si="4"/>
        <v>-94500</v>
      </c>
      <c r="L17" s="36">
        <v>0.0</v>
      </c>
      <c r="M17" s="39">
        <f t="shared" si="5"/>
        <v>-94500</v>
      </c>
      <c r="N17" s="38">
        <f t="shared" si="6"/>
        <v>-1124675</v>
      </c>
    </row>
    <row r="18" ht="15.0" customHeight="1">
      <c r="A18" s="40" t="s">
        <v>65</v>
      </c>
      <c r="B18" s="41">
        <f t="shared" ref="B18:M18" si="7">SUM(B6:B17)</f>
        <v>99</v>
      </c>
      <c r="C18" s="41">
        <f t="shared" si="7"/>
        <v>29700</v>
      </c>
      <c r="D18" s="41">
        <f t="shared" si="7"/>
        <v>1188</v>
      </c>
      <c r="E18" s="41">
        <f t="shared" si="7"/>
        <v>28512</v>
      </c>
      <c r="F18" s="41">
        <f t="shared" si="7"/>
        <v>4752</v>
      </c>
      <c r="G18" s="41">
        <f t="shared" si="7"/>
        <v>23760</v>
      </c>
      <c r="H18" s="41">
        <f t="shared" si="7"/>
        <v>1110000</v>
      </c>
      <c r="I18" s="41">
        <f t="shared" si="7"/>
        <v>38435</v>
      </c>
      <c r="J18" s="41">
        <f t="shared" si="7"/>
        <v>1148435</v>
      </c>
      <c r="K18" s="41">
        <f t="shared" si="7"/>
        <v>-1124675</v>
      </c>
      <c r="L18" s="41">
        <f t="shared" si="7"/>
        <v>0</v>
      </c>
      <c r="M18" s="41">
        <f t="shared" si="7"/>
        <v>-1124675</v>
      </c>
      <c r="N18" s="41">
        <f>N17</f>
        <v>-1124675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ht="25.5" customHeight="1">
      <c r="A20" s="42" t="s">
        <v>66</v>
      </c>
      <c r="B20" s="43"/>
      <c r="C20" s="43"/>
      <c r="D20" s="43"/>
      <c r="E20" s="43"/>
      <c r="F20" s="43"/>
      <c r="G20" s="43"/>
      <c r="H20" s="43"/>
      <c r="I20" s="4"/>
      <c r="J20" s="4"/>
      <c r="K20" s="4"/>
      <c r="L20" s="4"/>
      <c r="M20" s="4"/>
      <c r="N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ht="34.5" customHeight="1">
      <c r="A22" s="44" t="s">
        <v>67</v>
      </c>
      <c r="B22" s="11">
        <f>SUM(K6:K17)</f>
        <v>-1124675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ht="23.25" customHeight="1">
      <c r="A23" s="44"/>
      <c r="B23" s="8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ht="27.75" customHeight="1">
      <c r="A24" s="45" t="s">
        <v>68</v>
      </c>
      <c r="B24" s="46">
        <f>IFERROR(B22,0)</f>
        <v>-1124675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ht="23.25" customHeight="1">
      <c r="A26" s="44" t="s">
        <v>69</v>
      </c>
      <c r="B26" s="8">
        <f>Kar_Analizi!B26</f>
        <v>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ht="23.25" customHeight="1">
      <c r="A27" s="44" t="s">
        <v>70</v>
      </c>
      <c r="B27" s="8">
        <f>IFERROR(IF(Kar_Analizi!B19&gt;0,Kar_Analizi!B19,0),0)</f>
        <v>0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ht="35.25" customHeight="1">
      <c r="A29" s="45" t="s">
        <v>71</v>
      </c>
      <c r="B29" s="12">
        <f>IFERROR(B24-B26-B27,0)</f>
        <v>-1124675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ht="27.75" customHeight="1">
      <c r="A31" s="45" t="s">
        <v>72</v>
      </c>
      <c r="B31" s="46">
        <f>IFERROR(B29*Parametreler!B10/100,0)</f>
        <v>-562337.5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ht="27.75" customHeight="1">
      <c r="A32" s="45" t="s">
        <v>73</v>
      </c>
      <c r="B32" s="46">
        <f>IFERROR(B29*Parametreler!B11/100,0)</f>
        <v>-562337.5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ht="23.25" customHeight="1">
      <c r="A34" s="44" t="s">
        <v>74</v>
      </c>
      <c r="B34" s="11">
        <f t="shared" ref="B34:B35" si="8">IFERROR(B31/12,0)</f>
        <v>-46861.45833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ht="23.25" customHeight="1">
      <c r="A35" s="44" t="s">
        <v>75</v>
      </c>
      <c r="B35" s="11">
        <f t="shared" si="8"/>
        <v>-46861.45833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3:N3"/>
  </mergeCells>
  <conditionalFormatting sqref="K6:K17">
    <cfRule type="cellIs" dxfId="4" priority="1" operator="lessThan">
      <formula>0</formula>
    </cfRule>
  </conditionalFormatting>
  <conditionalFormatting sqref="K6:K17">
    <cfRule type="cellIs" dxfId="5" priority="2" operator="greaterThanOrEqual">
      <formula>0</formula>
    </cfRule>
  </conditionalFormatting>
  <conditionalFormatting sqref="M6:M17">
    <cfRule type="cellIs" dxfId="4" priority="3" operator="lessThan">
      <formula>0</formula>
    </cfRule>
  </conditionalFormatting>
  <conditionalFormatting sqref="M6:M17">
    <cfRule type="cellIs" dxfId="5" priority="4" operator="greaterThanOrEqual">
      <formula>0</formula>
    </cfRule>
  </conditionalFormatting>
  <conditionalFormatting sqref="N6:N17">
    <cfRule type="cellIs" dxfId="4" priority="5" operator="lessThan">
      <formula>0</formula>
    </cfRule>
  </conditionalFormatting>
  <conditionalFormatting sqref="N6:N17">
    <cfRule type="cellIs" dxfId="5" priority="6" operator="greaterThanOrEqual">
      <formula>0</formula>
    </cfRule>
  </conditionalFormatting>
  <conditionalFormatting sqref="B29">
    <cfRule type="cellIs" dxfId="6" priority="7" operator="greaterThanOrEqual">
      <formula>0</formula>
    </cfRule>
  </conditionalFormatting>
  <conditionalFormatting sqref="B29">
    <cfRule type="cellIs" dxfId="7" priority="8" operator="less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3" width="10.0"/>
    <col customWidth="1" min="4" max="4" width="9.0"/>
    <col customWidth="1" min="5" max="5" width="14.0"/>
    <col customWidth="1" min="6" max="6" width="16.0"/>
    <col customWidth="1" min="7" max="7" width="18.0"/>
    <col customWidth="1" min="8" max="8" width="12.0"/>
    <col customWidth="1" min="9" max="9" width="28.0"/>
    <col customWidth="1" min="10" max="10" width="14.0"/>
  </cols>
  <sheetData>
    <row r="1" ht="31.5" customHeight="1">
      <c r="A1" s="47" t="s">
        <v>76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27"/>
      <c r="B2" s="27"/>
      <c r="C2" s="27"/>
      <c r="D2" s="27"/>
      <c r="E2" s="27"/>
      <c r="F2" s="27"/>
      <c r="G2" s="27"/>
      <c r="H2" s="27"/>
      <c r="I2" s="27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8" t="s">
        <v>77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29" t="s">
        <v>78</v>
      </c>
      <c r="B5" s="29" t="s">
        <v>79</v>
      </c>
      <c r="C5" s="29" t="s">
        <v>80</v>
      </c>
      <c r="D5" s="29" t="s">
        <v>81</v>
      </c>
      <c r="E5" s="29" t="s">
        <v>82</v>
      </c>
      <c r="F5" s="29" t="s">
        <v>83</v>
      </c>
      <c r="G5" s="29" t="s">
        <v>26</v>
      </c>
      <c r="H5" s="29" t="s">
        <v>84</v>
      </c>
      <c r="I5" s="29" t="s">
        <v>85</v>
      </c>
      <c r="J5" s="29" t="s">
        <v>86</v>
      </c>
      <c r="K5" s="48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0" customHeight="1">
      <c r="A6" s="49" t="s">
        <v>87</v>
      </c>
      <c r="B6" s="50">
        <f>1050*2</f>
        <v>2100</v>
      </c>
      <c r="C6" s="51" t="s">
        <v>88</v>
      </c>
      <c r="D6" s="52">
        <v>20.0</v>
      </c>
      <c r="E6" s="32">
        <f t="shared" ref="E6:E25" si="1">IFERROR(IF(C6="EVET",B6*D6/100,0),0)</f>
        <v>420</v>
      </c>
      <c r="F6" s="32">
        <f t="shared" ref="F6:F25" si="2">IFERROR(B6+E6,0)</f>
        <v>2520</v>
      </c>
      <c r="G6" s="51" t="s">
        <v>89</v>
      </c>
      <c r="H6" s="51" t="s">
        <v>90</v>
      </c>
      <c r="I6" s="53" t="s">
        <v>91</v>
      </c>
      <c r="J6" s="51" t="s">
        <v>40</v>
      </c>
      <c r="K6" s="48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9" t="s">
        <v>92</v>
      </c>
      <c r="B7" s="50">
        <v>9000.0</v>
      </c>
      <c r="C7" s="51" t="s">
        <v>93</v>
      </c>
      <c r="D7" s="52">
        <v>20.0</v>
      </c>
      <c r="E7" s="37">
        <f t="shared" si="1"/>
        <v>0</v>
      </c>
      <c r="F7" s="37">
        <f t="shared" si="2"/>
        <v>9000</v>
      </c>
      <c r="G7" s="51" t="s">
        <v>30</v>
      </c>
      <c r="H7" s="51" t="s">
        <v>90</v>
      </c>
      <c r="I7" s="54" t="s">
        <v>94</v>
      </c>
      <c r="J7" s="51" t="s">
        <v>40</v>
      </c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49" t="s">
        <v>95</v>
      </c>
      <c r="B8" s="50">
        <f>1000*2</f>
        <v>2000</v>
      </c>
      <c r="C8" s="51" t="s">
        <v>88</v>
      </c>
      <c r="D8" s="52">
        <v>20.0</v>
      </c>
      <c r="E8" s="32">
        <f t="shared" si="1"/>
        <v>400</v>
      </c>
      <c r="F8" s="32">
        <f t="shared" si="2"/>
        <v>2400</v>
      </c>
      <c r="G8" s="51" t="s">
        <v>89</v>
      </c>
      <c r="H8" s="51" t="s">
        <v>96</v>
      </c>
      <c r="I8" s="53" t="s">
        <v>97</v>
      </c>
      <c r="J8" s="51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9" t="s">
        <v>98</v>
      </c>
      <c r="B9" s="50">
        <v>2500.0</v>
      </c>
      <c r="C9" s="51" t="s">
        <v>93</v>
      </c>
      <c r="D9" s="52">
        <v>20.0</v>
      </c>
      <c r="E9" s="37">
        <f t="shared" si="1"/>
        <v>0</v>
      </c>
      <c r="F9" s="37">
        <f t="shared" si="2"/>
        <v>2500</v>
      </c>
      <c r="G9" s="51" t="s">
        <v>29</v>
      </c>
      <c r="H9" s="51" t="s">
        <v>90</v>
      </c>
      <c r="I9" s="54"/>
      <c r="J9" s="51" t="s">
        <v>40</v>
      </c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9" t="s">
        <v>99</v>
      </c>
      <c r="B10" s="50">
        <v>835.0</v>
      </c>
      <c r="C10" s="51" t="s">
        <v>93</v>
      </c>
      <c r="D10" s="52">
        <v>20.0</v>
      </c>
      <c r="E10" s="32">
        <f t="shared" si="1"/>
        <v>0</v>
      </c>
      <c r="F10" s="32">
        <f t="shared" si="2"/>
        <v>835</v>
      </c>
      <c r="G10" s="51" t="s">
        <v>30</v>
      </c>
      <c r="H10" s="51" t="s">
        <v>90</v>
      </c>
      <c r="I10" s="53"/>
      <c r="J10" s="51" t="s">
        <v>40</v>
      </c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9"/>
      <c r="B11" s="50"/>
      <c r="C11" s="51"/>
      <c r="D11" s="52"/>
      <c r="E11" s="37">
        <f t="shared" si="1"/>
        <v>0</v>
      </c>
      <c r="F11" s="37">
        <f t="shared" si="2"/>
        <v>0</v>
      </c>
      <c r="G11" s="51"/>
      <c r="H11" s="51"/>
      <c r="I11" s="54"/>
      <c r="J11" s="51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9"/>
      <c r="B12" s="50"/>
      <c r="C12" s="51"/>
      <c r="D12" s="52"/>
      <c r="E12" s="32">
        <f t="shared" si="1"/>
        <v>0</v>
      </c>
      <c r="F12" s="32">
        <f t="shared" si="2"/>
        <v>0</v>
      </c>
      <c r="G12" s="51"/>
      <c r="H12" s="51"/>
      <c r="I12" s="53"/>
      <c r="J12" s="51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9"/>
      <c r="B13" s="50"/>
      <c r="C13" s="51"/>
      <c r="D13" s="52"/>
      <c r="E13" s="37">
        <f t="shared" si="1"/>
        <v>0</v>
      </c>
      <c r="F13" s="37">
        <f t="shared" si="2"/>
        <v>0</v>
      </c>
      <c r="G13" s="51"/>
      <c r="H13" s="51"/>
      <c r="I13" s="54"/>
      <c r="J13" s="51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9"/>
      <c r="B14" s="50"/>
      <c r="C14" s="51"/>
      <c r="D14" s="52"/>
      <c r="E14" s="32">
        <f t="shared" si="1"/>
        <v>0</v>
      </c>
      <c r="F14" s="32">
        <f t="shared" si="2"/>
        <v>0</v>
      </c>
      <c r="G14" s="51"/>
      <c r="H14" s="51"/>
      <c r="I14" s="53"/>
      <c r="J14" s="51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9"/>
      <c r="B15" s="50"/>
      <c r="C15" s="51"/>
      <c r="D15" s="52"/>
      <c r="E15" s="37">
        <f t="shared" si="1"/>
        <v>0</v>
      </c>
      <c r="F15" s="37">
        <f t="shared" si="2"/>
        <v>0</v>
      </c>
      <c r="G15" s="51"/>
      <c r="H15" s="51"/>
      <c r="I15" s="54"/>
      <c r="J15" s="51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9"/>
      <c r="B16" s="50"/>
      <c r="C16" s="51"/>
      <c r="D16" s="52"/>
      <c r="E16" s="32">
        <f t="shared" si="1"/>
        <v>0</v>
      </c>
      <c r="F16" s="32">
        <f t="shared" si="2"/>
        <v>0</v>
      </c>
      <c r="G16" s="51"/>
      <c r="H16" s="51"/>
      <c r="I16" s="53"/>
      <c r="J16" s="51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9"/>
      <c r="B17" s="50"/>
      <c r="C17" s="51"/>
      <c r="D17" s="52"/>
      <c r="E17" s="37">
        <f t="shared" si="1"/>
        <v>0</v>
      </c>
      <c r="F17" s="37">
        <f t="shared" si="2"/>
        <v>0</v>
      </c>
      <c r="G17" s="51"/>
      <c r="H17" s="51"/>
      <c r="I17" s="54"/>
      <c r="J17" s="51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9"/>
      <c r="B18" s="50"/>
      <c r="C18" s="51"/>
      <c r="D18" s="52"/>
      <c r="E18" s="32">
        <f t="shared" si="1"/>
        <v>0</v>
      </c>
      <c r="F18" s="32">
        <f t="shared" si="2"/>
        <v>0</v>
      </c>
      <c r="G18" s="51"/>
      <c r="H18" s="51"/>
      <c r="I18" s="53"/>
      <c r="J18" s="51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9"/>
      <c r="B19" s="50"/>
      <c r="C19" s="51"/>
      <c r="D19" s="52"/>
      <c r="E19" s="37">
        <f t="shared" si="1"/>
        <v>0</v>
      </c>
      <c r="F19" s="37">
        <f t="shared" si="2"/>
        <v>0</v>
      </c>
      <c r="G19" s="51"/>
      <c r="H19" s="51"/>
      <c r="I19" s="54"/>
      <c r="J19" s="51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9"/>
      <c r="B20" s="50"/>
      <c r="C20" s="51"/>
      <c r="D20" s="52"/>
      <c r="E20" s="32">
        <f t="shared" si="1"/>
        <v>0</v>
      </c>
      <c r="F20" s="32">
        <f t="shared" si="2"/>
        <v>0</v>
      </c>
      <c r="G20" s="51"/>
      <c r="H20" s="51"/>
      <c r="I20" s="53"/>
      <c r="J20" s="51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9"/>
      <c r="B21" s="50"/>
      <c r="C21" s="51"/>
      <c r="D21" s="52"/>
      <c r="E21" s="37">
        <f t="shared" si="1"/>
        <v>0</v>
      </c>
      <c r="F21" s="37">
        <f t="shared" si="2"/>
        <v>0</v>
      </c>
      <c r="G21" s="51"/>
      <c r="H21" s="51"/>
      <c r="I21" s="54"/>
      <c r="J21" s="51"/>
      <c r="K21" s="48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5.5" customHeight="1">
      <c r="A22" s="49"/>
      <c r="B22" s="50"/>
      <c r="C22" s="51"/>
      <c r="D22" s="52"/>
      <c r="E22" s="32">
        <f t="shared" si="1"/>
        <v>0</v>
      </c>
      <c r="F22" s="32">
        <f t="shared" si="2"/>
        <v>0</v>
      </c>
      <c r="G22" s="51"/>
      <c r="H22" s="51"/>
      <c r="I22" s="53"/>
      <c r="J22" s="51"/>
      <c r="K22" s="48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0" customHeight="1">
      <c r="A23" s="49"/>
      <c r="B23" s="50"/>
      <c r="C23" s="51"/>
      <c r="D23" s="52"/>
      <c r="E23" s="37">
        <f t="shared" si="1"/>
        <v>0</v>
      </c>
      <c r="F23" s="37">
        <f t="shared" si="2"/>
        <v>0</v>
      </c>
      <c r="G23" s="51"/>
      <c r="H23" s="51"/>
      <c r="I23" s="54"/>
      <c r="J23" s="51"/>
      <c r="K23" s="48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0" customHeight="1">
      <c r="A24" s="49"/>
      <c r="B24" s="50"/>
      <c r="C24" s="50"/>
      <c r="D24" s="52"/>
      <c r="E24" s="32">
        <f t="shared" si="1"/>
        <v>0</v>
      </c>
      <c r="F24" s="32">
        <f t="shared" si="2"/>
        <v>0</v>
      </c>
      <c r="G24" s="51"/>
      <c r="H24" s="51"/>
      <c r="I24" s="53"/>
      <c r="J24" s="51"/>
      <c r="K24" s="48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0" customHeight="1">
      <c r="A25" s="49"/>
      <c r="B25" s="50"/>
      <c r="C25" s="51"/>
      <c r="D25" s="52"/>
      <c r="E25" s="37">
        <f t="shared" si="1"/>
        <v>0</v>
      </c>
      <c r="F25" s="37">
        <f t="shared" si="2"/>
        <v>0</v>
      </c>
      <c r="G25" s="51"/>
      <c r="H25" s="51"/>
      <c r="I25" s="54"/>
      <c r="J25" s="51"/>
      <c r="K25" s="48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0" customHeight="1">
      <c r="A26" s="55"/>
      <c r="B26" s="56"/>
      <c r="C26" s="56"/>
      <c r="D26" s="56"/>
      <c r="E26" s="48"/>
      <c r="F26" s="48"/>
      <c r="G26" s="48"/>
      <c r="H26" s="48"/>
      <c r="I26" s="48"/>
      <c r="J26" s="48"/>
      <c r="K26" s="48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5.5" customHeight="1">
      <c r="A27" s="57" t="s">
        <v>100</v>
      </c>
      <c r="B27" s="58"/>
      <c r="C27" s="58"/>
      <c r="D27" s="58"/>
      <c r="E27" s="59"/>
      <c r="F27" s="59"/>
      <c r="G27" s="48"/>
      <c r="H27" s="48"/>
      <c r="I27" s="48"/>
      <c r="J27" s="48"/>
      <c r="K27" s="48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29"/>
      <c r="B28" s="29" t="s">
        <v>101</v>
      </c>
      <c r="C28" s="29" t="s">
        <v>102</v>
      </c>
      <c r="D28" s="29" t="s">
        <v>103</v>
      </c>
      <c r="E28" s="29"/>
      <c r="F28" s="29"/>
      <c r="G28" s="48"/>
      <c r="H28" s="48"/>
      <c r="I28" s="48"/>
      <c r="J28" s="48"/>
      <c r="K28" s="48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5" t="s">
        <v>104</v>
      </c>
      <c r="B29" s="60">
        <f>IFERROR(SUMPRODUCT((C6:C25="EVET")*(H6:H25="aylık")*(B6:B25)),0)</f>
        <v>2000</v>
      </c>
      <c r="C29" s="60">
        <f>IFERROR(SUMPRODUCT((C6:C25="EVET")*(H6:H25="aylık")*(E6:E25)),0)</f>
        <v>400</v>
      </c>
      <c r="D29" s="61">
        <f>IFERROR(B29+C29,0)</f>
        <v>2400</v>
      </c>
      <c r="E29" s="48"/>
      <c r="F29" s="48"/>
      <c r="G29" s="48"/>
      <c r="H29" s="48"/>
      <c r="I29" s="48"/>
      <c r="J29" s="48"/>
      <c r="K29" s="48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5.5" customHeight="1">
      <c r="A30" s="62" t="s">
        <v>105</v>
      </c>
      <c r="B30" s="31">
        <f>IFERROR(SUMPRODUCT((C6:C25="HAYIR")*(H6:H25="aylık")*(B6:B25)),0)</f>
        <v>0</v>
      </c>
      <c r="C30" s="48"/>
      <c r="D30" s="32">
        <f>B30</f>
        <v>0</v>
      </c>
      <c r="E30" s="48"/>
      <c r="F30" s="48"/>
      <c r="G30" s="48"/>
      <c r="H30" s="48"/>
      <c r="I30" s="48"/>
      <c r="J30" s="48"/>
      <c r="K30" s="48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2" t="s">
        <v>106</v>
      </c>
      <c r="B31" s="31">
        <f>IFERROR(SUMPRODUCT((H6:H25="tek sefer")*(B6:B25)),0)</f>
        <v>14435</v>
      </c>
      <c r="C31" s="31">
        <f>IFERROR(SUMPRODUCT((H6:H25="tek sefer")*(E6:E25)),0)</f>
        <v>420</v>
      </c>
      <c r="D31" s="32">
        <f t="shared" ref="D31:D32" si="3">IFERROR(B31+C31,0)</f>
        <v>14855</v>
      </c>
      <c r="E31" s="48"/>
      <c r="F31" s="48"/>
      <c r="G31" s="48"/>
      <c r="H31" s="48"/>
      <c r="I31" s="48"/>
      <c r="J31" s="48"/>
      <c r="K31" s="48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0" t="s">
        <v>107</v>
      </c>
      <c r="B32" s="63">
        <f>IFERROR(B29+B30,0)</f>
        <v>2000</v>
      </c>
      <c r="C32" s="63">
        <f>IFERROR(C29,0)</f>
        <v>400</v>
      </c>
      <c r="D32" s="63">
        <f t="shared" si="3"/>
        <v>2400</v>
      </c>
      <c r="E32" s="40"/>
      <c r="F32" s="40"/>
      <c r="G32" s="48"/>
      <c r="H32" s="48"/>
      <c r="I32" s="48"/>
      <c r="J32" s="48"/>
      <c r="K32" s="48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5.5" customHeight="1">
      <c r="A34" s="57" t="s">
        <v>108</v>
      </c>
      <c r="B34" s="59"/>
      <c r="C34" s="59"/>
      <c r="D34" s="64"/>
      <c r="E34" s="64"/>
      <c r="F34" s="64"/>
      <c r="G34" s="48"/>
      <c r="H34" s="48"/>
      <c r="I34" s="48"/>
      <c r="J34" s="48"/>
      <c r="K34" s="48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3" t="s">
        <v>109</v>
      </c>
      <c r="B35" s="56"/>
      <c r="C35" s="65"/>
      <c r="D35" s="48"/>
      <c r="E35" s="48"/>
      <c r="F35" s="48"/>
      <c r="G35" s="48"/>
      <c r="H35" s="48"/>
      <c r="I35" s="48"/>
      <c r="J35" s="48"/>
      <c r="K35" s="48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5"/>
      <c r="B36" s="66"/>
      <c r="C36" s="48"/>
      <c r="D36" s="48"/>
      <c r="E36" s="48"/>
      <c r="F36" s="48"/>
      <c r="G36" s="48"/>
      <c r="H36" s="48"/>
      <c r="I36" s="48"/>
      <c r="J36" s="48"/>
      <c r="K36" s="48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29" t="s">
        <v>110</v>
      </c>
      <c r="B37" s="67" t="s">
        <v>101</v>
      </c>
      <c r="C37" s="29" t="s">
        <v>85</v>
      </c>
      <c r="D37" s="48"/>
      <c r="E37" s="48"/>
      <c r="F37" s="48"/>
      <c r="G37" s="48"/>
      <c r="H37" s="48"/>
      <c r="I37" s="48"/>
      <c r="J37" s="48"/>
      <c r="K37" s="48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5" t="s">
        <v>111</v>
      </c>
      <c r="B38" s="50">
        <v>15000.0</v>
      </c>
      <c r="C38" s="53" t="s">
        <v>112</v>
      </c>
      <c r="D38" s="48"/>
      <c r="E38" s="48"/>
      <c r="F38" s="48"/>
      <c r="G38" s="48"/>
      <c r="H38" s="48"/>
      <c r="I38" s="48"/>
      <c r="J38" s="48"/>
      <c r="K38" s="48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5" t="s">
        <v>113</v>
      </c>
      <c r="B39" s="52">
        <v>20.0</v>
      </c>
      <c r="C39" s="48"/>
      <c r="D39" s="48"/>
      <c r="E39" s="48"/>
      <c r="F39" s="48"/>
      <c r="G39" s="48"/>
      <c r="H39" s="48"/>
      <c r="I39" s="48"/>
      <c r="J39" s="48"/>
      <c r="K39" s="48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5" t="s">
        <v>114</v>
      </c>
      <c r="B40" s="32">
        <f>IFERROR(B38*B39/100,0)</f>
        <v>3000</v>
      </c>
      <c r="C40" s="65"/>
      <c r="D40" s="48"/>
      <c r="E40" s="48"/>
      <c r="F40" s="48"/>
      <c r="G40" s="48"/>
      <c r="H40" s="48"/>
      <c r="I40" s="48"/>
      <c r="J40" s="48"/>
      <c r="K40" s="48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5"/>
      <c r="B41" s="56"/>
      <c r="C41" s="65"/>
      <c r="D41" s="48"/>
      <c r="E41" s="48"/>
      <c r="F41" s="48"/>
      <c r="G41" s="48"/>
      <c r="H41" s="48"/>
      <c r="I41" s="48"/>
      <c r="J41" s="48"/>
      <c r="K41" s="48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6:G25">
      <formula1>"Bursa Zafer Plaza,Mavibahçe,Tümü"</formula1>
    </dataValidation>
    <dataValidation type="list" allowBlank="1" sqref="H6:H25">
      <formula1>"aylık,tek sefer"</formula1>
    </dataValidation>
    <dataValidation type="list" allowBlank="1" sqref="C6:C25">
      <formula1>"EVET,HAYIR"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20.0"/>
    <col customWidth="1" min="3" max="3" width="50.0"/>
    <col customWidth="1" min="4" max="6" width="8.71"/>
  </cols>
  <sheetData>
    <row r="1" ht="31.5" customHeight="1">
      <c r="A1" s="1" t="s">
        <v>115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5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15" t="s">
        <v>110</v>
      </c>
      <c r="B3" s="15" t="s">
        <v>116</v>
      </c>
      <c r="C3" s="15" t="s">
        <v>85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68" t="s">
        <v>117</v>
      </c>
      <c r="B4" s="22">
        <v>300.0</v>
      </c>
      <c r="C4" s="69" t="s">
        <v>118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68" t="s">
        <v>113</v>
      </c>
      <c r="B5" s="70">
        <v>20.0</v>
      </c>
      <c r="C5" s="69" t="s">
        <v>119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68" t="s">
        <v>120</v>
      </c>
      <c r="B6" s="71">
        <f>IFERROR(B4/(1+B5/100),0)</f>
        <v>250</v>
      </c>
      <c r="C6" s="69" t="s">
        <v>121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68" t="s">
        <v>122</v>
      </c>
      <c r="B7" s="71">
        <f>IFERROR(B4-B6,0)</f>
        <v>50</v>
      </c>
      <c r="C7" s="69" t="s">
        <v>123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4.0" customHeight="1">
      <c r="A8" s="68" t="s">
        <v>124</v>
      </c>
      <c r="B8" s="70">
        <v>22.0</v>
      </c>
      <c r="C8" s="69" t="s">
        <v>125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4.0" customHeight="1">
      <c r="A9" s="68" t="s">
        <v>126</v>
      </c>
      <c r="B9" s="72">
        <v>43.75</v>
      </c>
      <c r="C9" s="69" t="s">
        <v>127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4.0" customHeight="1">
      <c r="A10" s="68" t="s">
        <v>128</v>
      </c>
      <c r="B10" s="70">
        <v>50.0</v>
      </c>
      <c r="C10" s="69" t="s">
        <v>129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4.0" customHeight="1">
      <c r="A11" s="68" t="s">
        <v>130</v>
      </c>
      <c r="B11" s="70">
        <v>50.0</v>
      </c>
      <c r="C11" s="69" t="s">
        <v>129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68" t="s">
        <v>131</v>
      </c>
      <c r="B12" s="73">
        <v>12.0</v>
      </c>
      <c r="C12" s="69" t="s">
        <v>132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4.0" customHeight="1">
      <c r="A13" s="68" t="s">
        <v>133</v>
      </c>
      <c r="B13" s="23" t="s">
        <v>88</v>
      </c>
      <c r="C13" s="69" t="s">
        <v>134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5" t="s">
        <v>135</v>
      </c>
      <c r="B14" s="52">
        <v>2.0</v>
      </c>
      <c r="C14" s="74" t="s">
        <v>136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5" t="s">
        <v>137</v>
      </c>
      <c r="B15" s="52">
        <v>2.0</v>
      </c>
      <c r="C15" s="74" t="s">
        <v>138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.5" customHeight="1">
      <c r="A16" s="45" t="s">
        <v>139</v>
      </c>
      <c r="B16" s="75">
        <f>IFERROR(B14+B15,0)</f>
        <v>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5.5" customHeight="1">
      <c r="A18" s="45" t="s">
        <v>140</v>
      </c>
      <c r="B18" s="76" t="str">
        <f>IF(B10+B11=100,"✓ OK","✗ HATA")</f>
        <v>✓ OK</v>
      </c>
      <c r="C18" s="4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5.5" customHeight="1">
      <c r="A19" s="57" t="s">
        <v>141</v>
      </c>
      <c r="B19" s="59"/>
      <c r="C19" s="59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55" t="s">
        <v>142</v>
      </c>
      <c r="B20" s="77"/>
      <c r="C20" s="6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5"/>
      <c r="B21" s="77"/>
      <c r="C21" s="6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5"/>
      <c r="B22" s="77"/>
      <c r="C22" s="6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5"/>
      <c r="B23" s="77"/>
      <c r="C23" s="6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5"/>
      <c r="B24" s="77"/>
      <c r="C24" s="6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8"/>
      <c r="B25" s="48"/>
      <c r="C25" s="4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8"/>
      <c r="B26" s="48"/>
      <c r="C26" s="48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8"/>
      <c r="B27" s="48"/>
      <c r="C27" s="48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5.5" customHeight="1">
      <c r="A28" s="48"/>
      <c r="B28" s="48"/>
      <c r="C28" s="48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75" customHeight="1">
      <c r="A29" s="65"/>
      <c r="B29" s="48"/>
      <c r="C29" s="48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75" customHeight="1">
      <c r="A30" s="65"/>
      <c r="B30" s="48"/>
      <c r="C30" s="48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5"/>
      <c r="B31" s="48"/>
      <c r="C31" s="4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conditionalFormatting sqref="B16">
    <cfRule type="cellIs" dxfId="3" priority="1" operator="equal">
      <formula>"✓ OK"</formula>
    </cfRule>
  </conditionalFormatting>
  <conditionalFormatting sqref="B16">
    <cfRule type="cellIs" dxfId="2" priority="2" operator="equal">
      <formula>"✗ HATA"</formula>
    </cfRule>
  </conditionalFormatting>
  <conditionalFormatting sqref="B18">
    <cfRule type="cellIs" dxfId="5" priority="3" operator="equal">
      <formula>"✓ OK"</formula>
    </cfRule>
  </conditionalFormatting>
  <conditionalFormatting sqref="B18">
    <cfRule type="cellIs" dxfId="4" priority="4" operator="equal">
      <formula>"✗ HATA"</formula>
    </cfRule>
  </conditionalFormatting>
  <dataValidations>
    <dataValidation type="list" allowBlank="1" sqref="B13">
      <formula1>"EVET,HAYIR"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3" width="14.0"/>
    <col customWidth="1" min="4" max="4" width="9.0"/>
    <col customWidth="1" min="5" max="5" width="18.0"/>
    <col customWidth="1" min="6" max="6" width="13.0"/>
    <col customWidth="1" min="7" max="7" width="14.0"/>
    <col customWidth="1" min="8" max="8" width="18.0"/>
    <col customWidth="1" min="9" max="9" width="20.0"/>
    <col customWidth="1" min="10" max="10" width="30.0"/>
  </cols>
  <sheetData>
    <row r="1" ht="31.5" customHeight="1">
      <c r="A1" s="1" t="s">
        <v>143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15" t="s">
        <v>144</v>
      </c>
      <c r="B3" s="15" t="s">
        <v>26</v>
      </c>
      <c r="C3" s="15" t="s">
        <v>145</v>
      </c>
      <c r="D3" s="15" t="s">
        <v>146</v>
      </c>
      <c r="E3" s="15" t="s">
        <v>147</v>
      </c>
      <c r="F3" s="15" t="s">
        <v>148</v>
      </c>
      <c r="G3" s="15" t="s">
        <v>149</v>
      </c>
      <c r="H3" s="15" t="s">
        <v>83</v>
      </c>
      <c r="I3" s="15" t="s">
        <v>150</v>
      </c>
      <c r="J3" s="15" t="s">
        <v>151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6" t="s">
        <v>152</v>
      </c>
      <c r="B4" s="6"/>
      <c r="C4" s="6"/>
      <c r="D4" s="6"/>
      <c r="E4" s="6"/>
      <c r="F4" s="6"/>
      <c r="G4" s="6"/>
      <c r="H4" s="6"/>
      <c r="I4" s="6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8" t="s">
        <v>153</v>
      </c>
      <c r="B5" s="16" t="s">
        <v>29</v>
      </c>
      <c r="C5" s="78">
        <v>7500.0</v>
      </c>
      <c r="D5" s="23" t="s">
        <v>154</v>
      </c>
      <c r="E5" s="22">
        <f>IFERROR(C5*Parametreler!B9,0)</f>
        <v>328125</v>
      </c>
      <c r="F5" s="23" t="s">
        <v>155</v>
      </c>
      <c r="G5" s="32">
        <f>IFERROR(IF(F5="Faturalı",E5*Parametreler!B5/100,0),0)</f>
        <v>0</v>
      </c>
      <c r="H5" s="32">
        <f t="shared" ref="H5:H7" si="1">IFERROR(E5+G5,0)</f>
        <v>328125</v>
      </c>
      <c r="I5" s="23" t="s">
        <v>156</v>
      </c>
      <c r="J5" s="23" t="s">
        <v>157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79" t="s">
        <v>158</v>
      </c>
      <c r="B6" s="24" t="s">
        <v>29</v>
      </c>
      <c r="C6" s="22"/>
      <c r="D6" s="23" t="s">
        <v>159</v>
      </c>
      <c r="E6" s="22">
        <v>6000.0</v>
      </c>
      <c r="F6" s="23" t="s">
        <v>155</v>
      </c>
      <c r="G6" s="37">
        <f>IFERROR(IF(F6="Faturalı",E6*Parametreler!B5/100,0),0)</f>
        <v>0</v>
      </c>
      <c r="H6" s="37">
        <f t="shared" si="1"/>
        <v>6000</v>
      </c>
      <c r="I6" s="23" t="s">
        <v>156</v>
      </c>
      <c r="J6" s="23" t="s">
        <v>157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8" t="s">
        <v>160</v>
      </c>
      <c r="B7" s="16" t="s">
        <v>29</v>
      </c>
      <c r="C7" s="22"/>
      <c r="D7" s="23" t="s">
        <v>159</v>
      </c>
      <c r="E7" s="22">
        <v>15000.0</v>
      </c>
      <c r="F7" s="23" t="s">
        <v>155</v>
      </c>
      <c r="G7" s="32">
        <f>IFERROR(IF(F7="Faturalı",E7*Parametreler!B5/100,0),0)</f>
        <v>0</v>
      </c>
      <c r="H7" s="32">
        <f t="shared" si="1"/>
        <v>15000</v>
      </c>
      <c r="I7" s="23" t="s">
        <v>156</v>
      </c>
      <c r="J7" s="23" t="s">
        <v>157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.5" customHeight="1">
      <c r="A8" s="80" t="s">
        <v>161</v>
      </c>
      <c r="B8" s="80"/>
      <c r="C8" s="80"/>
      <c r="D8" s="80"/>
      <c r="E8" s="81">
        <f>SUM(E5:E7)</f>
        <v>349125</v>
      </c>
      <c r="F8" s="80"/>
      <c r="G8" s="81">
        <f t="shared" ref="G8:H8" si="2">SUM(G5:G7)</f>
        <v>0</v>
      </c>
      <c r="H8" s="81">
        <f t="shared" si="2"/>
        <v>349125</v>
      </c>
      <c r="I8" s="80"/>
      <c r="J8" s="80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6" t="s">
        <v>162</v>
      </c>
      <c r="B10" s="6"/>
      <c r="C10" s="6"/>
      <c r="D10" s="6"/>
      <c r="E10" s="6"/>
      <c r="F10" s="6"/>
      <c r="G10" s="6"/>
      <c r="H10" s="6"/>
      <c r="I10" s="6"/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5.5" customHeight="1">
      <c r="A11" s="18" t="s">
        <v>153</v>
      </c>
      <c r="B11" s="16" t="s">
        <v>30</v>
      </c>
      <c r="C11" s="78">
        <v>9500.0</v>
      </c>
      <c r="D11" s="23" t="s">
        <v>154</v>
      </c>
      <c r="E11" s="22">
        <f>IFERROR(C11*Parametreler!B9,0)</f>
        <v>415625</v>
      </c>
      <c r="F11" s="23" t="s">
        <v>155</v>
      </c>
      <c r="G11" s="32">
        <f>1000*Parametreler!B9</f>
        <v>43750</v>
      </c>
      <c r="H11" s="32">
        <f t="shared" ref="H11:H12" si="3">IFERROR(E11+G11,0)</f>
        <v>459375</v>
      </c>
      <c r="I11" s="23"/>
      <c r="J11" s="23" t="s">
        <v>163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79" t="s">
        <v>164</v>
      </c>
      <c r="B12" s="24" t="s">
        <v>30</v>
      </c>
      <c r="C12" s="22"/>
      <c r="D12" s="23" t="s">
        <v>159</v>
      </c>
      <c r="E12" s="22">
        <v>32000.0</v>
      </c>
      <c r="F12" s="23" t="s">
        <v>155</v>
      </c>
      <c r="G12" s="37">
        <f>IFERROR(IF(F12="Faturalı",E12*Parametreler!B5/100,0),0)</f>
        <v>0</v>
      </c>
      <c r="H12" s="37">
        <f t="shared" si="3"/>
        <v>32000</v>
      </c>
      <c r="I12" s="23"/>
      <c r="J12" s="23" t="s">
        <v>165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5.5" customHeight="1">
      <c r="A13" s="80" t="s">
        <v>166</v>
      </c>
      <c r="B13" s="80"/>
      <c r="C13" s="80"/>
      <c r="D13" s="80"/>
      <c r="E13" s="81">
        <f>SUM(E11:E12)</f>
        <v>447625</v>
      </c>
      <c r="F13" s="80"/>
      <c r="G13" s="81">
        <f t="shared" ref="G13:H13" si="4">SUM(G11:G12)</f>
        <v>43750</v>
      </c>
      <c r="H13" s="81">
        <f t="shared" si="4"/>
        <v>491375</v>
      </c>
      <c r="I13" s="80"/>
      <c r="J13" s="8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5.5" customHeight="1">
      <c r="A15" s="6" t="s">
        <v>167</v>
      </c>
      <c r="B15" s="6"/>
      <c r="C15" s="6"/>
      <c r="D15" s="6"/>
      <c r="E15" s="6"/>
      <c r="F15" s="6"/>
      <c r="G15" s="6"/>
      <c r="H15" s="6"/>
      <c r="I15" s="6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82" t="s">
        <v>167</v>
      </c>
      <c r="B16" s="82"/>
      <c r="C16" s="82"/>
      <c r="D16" s="82"/>
      <c r="E16" s="83">
        <f>E8+E13</f>
        <v>796750</v>
      </c>
      <c r="F16" s="82"/>
      <c r="G16" s="83">
        <f t="shared" ref="G16:H16" si="5">G8+G13</f>
        <v>43750</v>
      </c>
      <c r="H16" s="83">
        <f t="shared" si="5"/>
        <v>840500</v>
      </c>
      <c r="I16" s="82"/>
      <c r="J16" s="82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23"/>
      <c r="B18" s="23"/>
      <c r="C18" s="23"/>
      <c r="D18" s="23"/>
      <c r="E18" s="23"/>
      <c r="F18" s="23"/>
      <c r="G18" s="22"/>
      <c r="H18" s="22"/>
      <c r="I18" s="23"/>
      <c r="J18" s="23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23"/>
      <c r="B19" s="23"/>
      <c r="C19" s="23"/>
      <c r="D19" s="23"/>
      <c r="E19" s="23"/>
      <c r="F19" s="23"/>
      <c r="G19" s="22"/>
      <c r="H19" s="22"/>
      <c r="I19" s="23"/>
      <c r="J19" s="23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23"/>
      <c r="B20" s="23"/>
      <c r="C20" s="23"/>
      <c r="D20" s="23"/>
      <c r="E20" s="23"/>
      <c r="F20" s="23"/>
      <c r="G20" s="22"/>
      <c r="H20" s="22"/>
      <c r="I20" s="23"/>
      <c r="J20" s="23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23"/>
      <c r="B21" s="23"/>
      <c r="C21" s="23"/>
      <c r="D21" s="23"/>
      <c r="E21" s="23"/>
      <c r="F21" s="23"/>
      <c r="G21" s="22"/>
      <c r="H21" s="22"/>
      <c r="I21" s="23"/>
      <c r="J21" s="23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23"/>
      <c r="B22" s="23"/>
      <c r="C22" s="23"/>
      <c r="D22" s="23"/>
      <c r="E22" s="23"/>
      <c r="F22" s="23"/>
      <c r="G22" s="22"/>
      <c r="H22" s="22"/>
      <c r="I22" s="23"/>
      <c r="J22" s="2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dataValidations>
    <dataValidation type="list" allowBlank="1" sqref="F5:F7 F11:F12 F18:F22">
      <formula1>"Faturalı,Nakit"</formula1>
    </dataValidation>
    <dataValidation type="list" allowBlank="1" sqref="D5:D7 D11:D12 D18:D22">
      <formula1>"USD,TL"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3" width="16.0"/>
    <col customWidth="1" min="4" max="4" width="13.0"/>
    <col customWidth="1" min="5" max="5" width="16.0"/>
    <col customWidth="1" min="6" max="6" width="14.0"/>
    <col customWidth="1" min="7" max="7" width="16.0"/>
    <col customWidth="1" min="8" max="8" width="8.71"/>
  </cols>
  <sheetData>
    <row r="1" ht="31.5" customHeight="1">
      <c r="A1" s="1" t="s">
        <v>168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5"/>
      <c r="C2" s="5"/>
      <c r="D2" s="5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15" t="s">
        <v>169</v>
      </c>
      <c r="B3" s="15" t="s">
        <v>170</v>
      </c>
      <c r="C3" s="15" t="s">
        <v>171</v>
      </c>
      <c r="D3" s="15" t="s">
        <v>172</v>
      </c>
      <c r="E3" s="15" t="s">
        <v>173</v>
      </c>
      <c r="F3" s="15" t="s">
        <v>174</v>
      </c>
      <c r="G3" s="15" t="s">
        <v>175</v>
      </c>
      <c r="H3" s="4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23" t="s">
        <v>29</v>
      </c>
      <c r="B4" s="22">
        <v>40000.0</v>
      </c>
      <c r="C4" s="22">
        <v>7500.0</v>
      </c>
      <c r="D4" s="70">
        <v>15.0</v>
      </c>
      <c r="E4" s="22">
        <v>40000.0</v>
      </c>
      <c r="F4" s="17">
        <f>IFERROR(IF(Parametreler!B13="EVET",B4*Parametreler!B5/100,0),0)</f>
        <v>8000</v>
      </c>
      <c r="G4" s="32">
        <f t="shared" ref="G4:G8" si="1">IFERROR(B4+C4+F4,0)</f>
        <v>55500</v>
      </c>
      <c r="H4" s="48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23" t="s">
        <v>30</v>
      </c>
      <c r="B5" s="22">
        <v>30000.0</v>
      </c>
      <c r="C5" s="22">
        <v>1000.0</v>
      </c>
      <c r="D5" s="70">
        <v>15.0</v>
      </c>
      <c r="E5" s="22">
        <v>30000.0</v>
      </c>
      <c r="F5" s="25">
        <f>IFERROR(IF(Parametreler!B13="EVET",B5*Parametreler!B5/100,0),0)</f>
        <v>6000</v>
      </c>
      <c r="G5" s="37">
        <f t="shared" si="1"/>
        <v>37000</v>
      </c>
      <c r="H5" s="48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23"/>
      <c r="B6" s="22"/>
      <c r="C6" s="22"/>
      <c r="D6" s="70"/>
      <c r="E6" s="22"/>
      <c r="F6" s="17">
        <f>IFERROR(IF(Parametreler!B13="EVET",B6*Parametreler!B5/100,0),0)</f>
        <v>0</v>
      </c>
      <c r="G6" s="32">
        <f t="shared" si="1"/>
        <v>0</v>
      </c>
      <c r="H6" s="48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23"/>
      <c r="B7" s="22"/>
      <c r="C7" s="22"/>
      <c r="D7" s="70"/>
      <c r="E7" s="22"/>
      <c r="F7" s="25">
        <f>IFERROR(IF(Parametreler!B13="EVET",B7*Parametreler!B5/100,0),0)</f>
        <v>0</v>
      </c>
      <c r="G7" s="37">
        <f t="shared" si="1"/>
        <v>0</v>
      </c>
      <c r="H7" s="48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23"/>
      <c r="B8" s="22"/>
      <c r="C8" s="22"/>
      <c r="D8" s="70"/>
      <c r="E8" s="22"/>
      <c r="F8" s="17">
        <f>IFERROR(IF(Parametreler!B13="EVET",B8*Parametreler!B5/100,0),0)</f>
        <v>0</v>
      </c>
      <c r="G8" s="32">
        <f t="shared" si="1"/>
        <v>0</v>
      </c>
      <c r="H8" s="48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5.5" customHeight="1">
      <c r="A9" s="84" t="s">
        <v>176</v>
      </c>
      <c r="B9" s="85">
        <f t="shared" ref="B9:C9" si="2">SUM(B4:B8)</f>
        <v>70000</v>
      </c>
      <c r="C9" s="85">
        <f t="shared" si="2"/>
        <v>8500</v>
      </c>
      <c r="D9" s="84"/>
      <c r="E9" s="84"/>
      <c r="F9" s="85">
        <f t="shared" ref="F9:G9" si="3">SUM(F4:F8)</f>
        <v>14000</v>
      </c>
      <c r="G9" s="85">
        <f t="shared" si="3"/>
        <v>92500</v>
      </c>
      <c r="H9" s="48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10.0"/>
    <col customWidth="1" min="4" max="4" width="15.0"/>
    <col customWidth="1" min="5" max="5" width="13.0"/>
    <col customWidth="1" min="6" max="6" width="14.0"/>
    <col customWidth="1" min="7" max="7" width="13.0"/>
    <col customWidth="1" min="8" max="9" width="12.0"/>
    <col customWidth="1" min="10" max="10" width="9.0"/>
    <col customWidth="1" min="11" max="12" width="13.0"/>
    <col customWidth="1" min="13" max="13" width="15.0"/>
    <col customWidth="1" min="14" max="14" width="13.0"/>
    <col customWidth="1" min="15" max="15" width="14.0"/>
    <col customWidth="1" min="16" max="16" width="15.0"/>
    <col customWidth="1" min="17" max="17" width="14.0"/>
  </cols>
  <sheetData>
    <row r="1" ht="31.5" customHeight="1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9" t="s">
        <v>178</v>
      </c>
      <c r="B3" s="2"/>
      <c r="C3" s="2"/>
      <c r="D3" s="2"/>
      <c r="E3" s="2"/>
      <c r="F3" s="2"/>
      <c r="G3" s="2"/>
      <c r="H3" s="3"/>
      <c r="I3" s="86"/>
      <c r="J3" s="86"/>
      <c r="K3" s="86"/>
      <c r="L3" s="86"/>
      <c r="M3" s="86"/>
      <c r="N3" s="86"/>
      <c r="O3" s="86"/>
      <c r="P3" s="86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15" t="s">
        <v>33</v>
      </c>
      <c r="B4" s="15" t="s">
        <v>26</v>
      </c>
      <c r="C4" s="15" t="s">
        <v>179</v>
      </c>
      <c r="D4" s="15" t="s">
        <v>53</v>
      </c>
      <c r="E4" s="15" t="s">
        <v>56</v>
      </c>
      <c r="F4" s="15" t="s">
        <v>180</v>
      </c>
      <c r="G4" s="15" t="s">
        <v>181</v>
      </c>
      <c r="H4" s="15" t="s">
        <v>182</v>
      </c>
      <c r="I4" s="15" t="s">
        <v>183</v>
      </c>
      <c r="J4" s="15" t="s">
        <v>184</v>
      </c>
      <c r="K4" s="15" t="s">
        <v>185</v>
      </c>
      <c r="L4" s="15" t="s">
        <v>186</v>
      </c>
      <c r="M4" s="15" t="s">
        <v>187</v>
      </c>
      <c r="N4" s="15" t="s">
        <v>188</v>
      </c>
      <c r="O4" s="15" t="s">
        <v>60</v>
      </c>
      <c r="P4" s="15" t="s">
        <v>189</v>
      </c>
      <c r="Q4" s="29" t="s">
        <v>190</v>
      </c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87" t="str">
        <f>Veri_Girisi!A6</f>
        <v>2026-01</v>
      </c>
      <c r="B5" s="87" t="str">
        <f>Veri_Girisi!B6</f>
        <v>Bursa Zafer Plaza</v>
      </c>
      <c r="C5" s="88" t="str">
        <f>IFERROR(Veri_Girisi!C6,0)</f>
        <v/>
      </c>
      <c r="D5" s="17">
        <f>IFERROR(Veri_Girisi!D6,0)</f>
        <v>0</v>
      </c>
      <c r="E5" s="32">
        <f>IFERROR(D5*Parametreler!B5/(100+Parametreler!B5),0)</f>
        <v>0</v>
      </c>
      <c r="F5" s="32">
        <f t="shared" ref="F5:F28" si="1">IFERROR(D5-E5,0)</f>
        <v>0</v>
      </c>
      <c r="G5" s="17">
        <f>IFERROR(VLOOKUP(B5,AVM_Detay!A:G,2,FALSE()),0)</f>
        <v>40000</v>
      </c>
      <c r="H5" s="17">
        <f>IFERROR(VLOOKUP(B5,AVM_Detay!A:G,3,FALSE()),0)</f>
        <v>7500</v>
      </c>
      <c r="I5" s="32">
        <f>IFERROR(IF(Parametreler!B13="EVET",G5*Parametreler!B5/100,0),0)</f>
        <v>8000</v>
      </c>
      <c r="J5" s="89">
        <f>IFERROR(VLOOKUP(B5,AVM_Detay!A:G,4,FALSE()),0)</f>
        <v>15</v>
      </c>
      <c r="K5" s="17">
        <f>IFERROR(VLOOKUP(B5,AVM_Detay!A:G,5,FALSE()),0)</f>
        <v>40000</v>
      </c>
      <c r="L5" s="32">
        <f t="shared" ref="L5:L28" si="2">IFERROR(IF(D5&gt;K5,(D5-K5)*J5/100,0),0)</f>
        <v>0</v>
      </c>
      <c r="M5" s="32">
        <f t="shared" ref="M5:M28" si="3">IFERROR(G5+H5+I5+L5,0)</f>
        <v>55500</v>
      </c>
      <c r="N5" s="17">
        <f>IFERROR(Veri_Girisi!E6,0)+IFERROR(SUMPRODUCT((Giderler!H6:H25="aylık")*(Giderler!B6:B25))/2,0)+IFERROR(SUMPRODUCT((Giderler!H6:H25="tek sefer")*(Giderler!J6:J25=A5)*(Giderler!B6:B25))/2,0)</f>
        <v>1000</v>
      </c>
      <c r="O5" s="32">
        <f t="shared" ref="O5:O28" si="4">IFERROR(M5+N5,0)</f>
        <v>56500</v>
      </c>
      <c r="P5" s="33">
        <f t="shared" ref="P5:P28" si="5">IFERROR(F5-Q5-O5,0)</f>
        <v>-56500</v>
      </c>
      <c r="Q5" s="90">
        <f>IFERROR(D5*Parametreler!B16/100,0)</f>
        <v>0</v>
      </c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91" t="str">
        <f>Veri_Girisi!A7</f>
        <v>2026-02</v>
      </c>
      <c r="B6" s="91" t="str">
        <f>Veri_Girisi!B7</f>
        <v>Bursa Zafer Plaza</v>
      </c>
      <c r="C6" s="92" t="str">
        <f>IFERROR(Veri_Girisi!C7,0)</f>
        <v/>
      </c>
      <c r="D6" s="25">
        <f>IFERROR(Veri_Girisi!D7,0)</f>
        <v>0</v>
      </c>
      <c r="E6" s="37">
        <f>IFERROR(D6*Parametreler!B5/(100+Parametreler!B5),0)</f>
        <v>0</v>
      </c>
      <c r="F6" s="37">
        <f t="shared" si="1"/>
        <v>0</v>
      </c>
      <c r="G6" s="25">
        <f>IFERROR(VLOOKUP(B6,AVM_Detay!A:G,2,FALSE()),0)</f>
        <v>40000</v>
      </c>
      <c r="H6" s="25">
        <f>IFERROR(VLOOKUP(B6,AVM_Detay!A:G,3,FALSE()),0)</f>
        <v>7500</v>
      </c>
      <c r="I6" s="37">
        <f>IFERROR(IF(Parametreler!B13="EVET",G6*Parametreler!B5/100,0),0)</f>
        <v>8000</v>
      </c>
      <c r="J6" s="93">
        <f>IFERROR(VLOOKUP(B6,AVM_Detay!A:G,4,FALSE()),0)</f>
        <v>15</v>
      </c>
      <c r="K6" s="25">
        <f>IFERROR(VLOOKUP(B6,AVM_Detay!A:G,5,FALSE()),0)</f>
        <v>40000</v>
      </c>
      <c r="L6" s="37">
        <f t="shared" si="2"/>
        <v>0</v>
      </c>
      <c r="M6" s="37">
        <f t="shared" si="3"/>
        <v>55500</v>
      </c>
      <c r="N6" s="25">
        <f>IFERROR(Veri_Girisi!E7,0)+IFERROR(SUMPRODUCT((Giderler!H6:H25="aylık")*(Giderler!B6:B25))/2,0)+IFERROR(SUMPRODUCT((Giderler!H6:H25="tek sefer")*(Giderler!J6:J25=A6)*(Giderler!B6:B25))/2,0)</f>
        <v>1000</v>
      </c>
      <c r="O6" s="37">
        <f t="shared" si="4"/>
        <v>56500</v>
      </c>
      <c r="P6" s="38">
        <f t="shared" si="5"/>
        <v>-56500</v>
      </c>
      <c r="Q6" s="90">
        <f>IFERROR(D6*Parametreler!B16/100,0)</f>
        <v>0</v>
      </c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87" t="str">
        <f>Veri_Girisi!A8</f>
        <v>2026-03</v>
      </c>
      <c r="B7" s="87" t="str">
        <f>Veri_Girisi!B8</f>
        <v>Bursa Zafer Plaza</v>
      </c>
      <c r="C7" s="88">
        <f>IFERROR(Veri_Girisi!C8,0)</f>
        <v>50</v>
      </c>
      <c r="D7" s="17">
        <f>IFERROR(Veri_Girisi!D8,0)</f>
        <v>15000</v>
      </c>
      <c r="E7" s="32">
        <f>IFERROR(D7*Parametreler!B5/(100+Parametreler!B5),0)</f>
        <v>2500</v>
      </c>
      <c r="F7" s="32">
        <f t="shared" si="1"/>
        <v>12500</v>
      </c>
      <c r="G7" s="17">
        <f>IFERROR(VLOOKUP(B7,AVM_Detay!A:G,2,FALSE()),0)</f>
        <v>40000</v>
      </c>
      <c r="H7" s="17">
        <f>IFERROR(VLOOKUP(B7,AVM_Detay!A:G,3,FALSE()),0)</f>
        <v>7500</v>
      </c>
      <c r="I7" s="32">
        <f>IFERROR(IF(Parametreler!B13="EVET",G7*Parametreler!B5/100,0),0)</f>
        <v>8000</v>
      </c>
      <c r="J7" s="89">
        <f>IFERROR(VLOOKUP(B7,AVM_Detay!A:G,4,FALSE()),0)</f>
        <v>15</v>
      </c>
      <c r="K7" s="17">
        <f>IFERROR(VLOOKUP(B7,AVM_Detay!A:G,5,FALSE()),0)</f>
        <v>40000</v>
      </c>
      <c r="L7" s="32">
        <f t="shared" si="2"/>
        <v>0</v>
      </c>
      <c r="M7" s="32">
        <f t="shared" si="3"/>
        <v>55500</v>
      </c>
      <c r="N7" s="17">
        <f>IFERROR(Veri_Girisi!E8,0)+IFERROR(SUMPRODUCT((Giderler!H6:H25="aylık")*(Giderler!B6:B25))/2,0)+IFERROR(SUMPRODUCT((Giderler!H6:H25="tek sefer")*(Giderler!J6:J25=A7)*(Giderler!B6:B25))/2,0)</f>
        <v>8217.5</v>
      </c>
      <c r="O7" s="32">
        <f t="shared" si="4"/>
        <v>63717.5</v>
      </c>
      <c r="P7" s="33">
        <f t="shared" si="5"/>
        <v>-51817.5</v>
      </c>
      <c r="Q7" s="90">
        <f>IFERROR(D7*Parametreler!B16/100,0)</f>
        <v>600</v>
      </c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91" t="str">
        <f>Veri_Girisi!A9</f>
        <v>2026-04</v>
      </c>
      <c r="B8" s="91" t="str">
        <f>Veri_Girisi!B9</f>
        <v>Bursa Zafer Plaza</v>
      </c>
      <c r="C8" s="92" t="str">
        <f>IFERROR(Veri_Girisi!C9,0)</f>
        <v/>
      </c>
      <c r="D8" s="25">
        <f>IFERROR(Veri_Girisi!D9,0)</f>
        <v>0</v>
      </c>
      <c r="E8" s="37">
        <f>IFERROR(D8*Parametreler!B5/(100+Parametreler!B5),0)</f>
        <v>0</v>
      </c>
      <c r="F8" s="37">
        <f t="shared" si="1"/>
        <v>0</v>
      </c>
      <c r="G8" s="25">
        <f>IFERROR(VLOOKUP(B8,AVM_Detay!A:G,2,FALSE()),0)</f>
        <v>40000</v>
      </c>
      <c r="H8" s="25">
        <f>IFERROR(VLOOKUP(B8,AVM_Detay!A:G,3,FALSE()),0)</f>
        <v>7500</v>
      </c>
      <c r="I8" s="37">
        <f>IFERROR(IF(Parametreler!B13="EVET",G8*Parametreler!B5/100,0),0)</f>
        <v>8000</v>
      </c>
      <c r="J8" s="93">
        <f>IFERROR(VLOOKUP(B8,AVM_Detay!A:G,4,FALSE()),0)</f>
        <v>15</v>
      </c>
      <c r="K8" s="25">
        <f>IFERROR(VLOOKUP(B8,AVM_Detay!A:G,5,FALSE()),0)</f>
        <v>40000</v>
      </c>
      <c r="L8" s="37">
        <f t="shared" si="2"/>
        <v>0</v>
      </c>
      <c r="M8" s="37">
        <f t="shared" si="3"/>
        <v>55500</v>
      </c>
      <c r="N8" s="25">
        <f>IFERROR(Veri_Girisi!E9,0)+IFERROR(SUMPRODUCT((Giderler!H6:H25="aylık")*(Giderler!B6:B25))/2,0)+IFERROR(SUMPRODUCT((Giderler!H6:H25="tek sefer")*(Giderler!J6:J25=A8)*(Giderler!B6:B25))/2,0)</f>
        <v>1000</v>
      </c>
      <c r="O8" s="37">
        <f t="shared" si="4"/>
        <v>56500</v>
      </c>
      <c r="P8" s="38">
        <f t="shared" si="5"/>
        <v>-56500</v>
      </c>
      <c r="Q8" s="90">
        <f>IFERROR(D8*Parametreler!B16/100,0)</f>
        <v>0</v>
      </c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87" t="str">
        <f>Veri_Girisi!A10</f>
        <v>2026-05</v>
      </c>
      <c r="B9" s="87" t="str">
        <f>Veri_Girisi!B10</f>
        <v>Bursa Zafer Plaza</v>
      </c>
      <c r="C9" s="88" t="str">
        <f>IFERROR(Veri_Girisi!C10,0)</f>
        <v/>
      </c>
      <c r="D9" s="17">
        <f>IFERROR(Veri_Girisi!D10,0)</f>
        <v>0</v>
      </c>
      <c r="E9" s="32">
        <f>IFERROR(D9*Parametreler!B5/(100+Parametreler!B5),0)</f>
        <v>0</v>
      </c>
      <c r="F9" s="32">
        <f t="shared" si="1"/>
        <v>0</v>
      </c>
      <c r="G9" s="17">
        <f>IFERROR(VLOOKUP(B9,AVM_Detay!A:G,2,FALSE()),0)</f>
        <v>40000</v>
      </c>
      <c r="H9" s="17">
        <f>IFERROR(VLOOKUP(B9,AVM_Detay!A:G,3,FALSE()),0)</f>
        <v>7500</v>
      </c>
      <c r="I9" s="32">
        <f>IFERROR(IF(Parametreler!B13="EVET",G9*Parametreler!B5/100,0),0)</f>
        <v>8000</v>
      </c>
      <c r="J9" s="89">
        <f>IFERROR(VLOOKUP(B9,AVM_Detay!A:G,4,FALSE()),0)</f>
        <v>15</v>
      </c>
      <c r="K9" s="17">
        <f>IFERROR(VLOOKUP(B9,AVM_Detay!A:G,5,FALSE()),0)</f>
        <v>40000</v>
      </c>
      <c r="L9" s="32">
        <f t="shared" si="2"/>
        <v>0</v>
      </c>
      <c r="M9" s="32">
        <f t="shared" si="3"/>
        <v>55500</v>
      </c>
      <c r="N9" s="17">
        <f>IFERROR(Veri_Girisi!E10,0)+IFERROR(SUMPRODUCT((Giderler!H6:H25="aylık")*(Giderler!B6:B25))/2,0)+IFERROR(SUMPRODUCT((Giderler!H6:H25="tek sefer")*(Giderler!J6:J25=A9)*(Giderler!B6:B25))/2,0)</f>
        <v>1000</v>
      </c>
      <c r="O9" s="32">
        <f t="shared" si="4"/>
        <v>56500</v>
      </c>
      <c r="P9" s="33">
        <f t="shared" si="5"/>
        <v>-56500</v>
      </c>
      <c r="Q9" s="90">
        <f>IFERROR(D9*Parametreler!B16/100,0)</f>
        <v>0</v>
      </c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91" t="str">
        <f>Veri_Girisi!A11</f>
        <v>2026-06</v>
      </c>
      <c r="B10" s="91" t="str">
        <f>Veri_Girisi!B11</f>
        <v>Bursa Zafer Plaza</v>
      </c>
      <c r="C10" s="92" t="str">
        <f>IFERROR(Veri_Girisi!C11,0)</f>
        <v/>
      </c>
      <c r="D10" s="25">
        <f>IFERROR(Veri_Girisi!D11,0)</f>
        <v>0</v>
      </c>
      <c r="E10" s="37">
        <f>IFERROR(D10*Parametreler!B5/(100+Parametreler!B5),0)</f>
        <v>0</v>
      </c>
      <c r="F10" s="37">
        <f t="shared" si="1"/>
        <v>0</v>
      </c>
      <c r="G10" s="25">
        <f>IFERROR(VLOOKUP(B10,AVM_Detay!A:G,2,FALSE()),0)</f>
        <v>40000</v>
      </c>
      <c r="H10" s="25">
        <f>IFERROR(VLOOKUP(B10,AVM_Detay!A:G,3,FALSE()),0)</f>
        <v>7500</v>
      </c>
      <c r="I10" s="37">
        <f>IFERROR(IF(Parametreler!B13="EVET",G10*Parametreler!B5/100,0),0)</f>
        <v>8000</v>
      </c>
      <c r="J10" s="93">
        <f>IFERROR(VLOOKUP(B10,AVM_Detay!A:G,4,FALSE()),0)</f>
        <v>15</v>
      </c>
      <c r="K10" s="25">
        <f>IFERROR(VLOOKUP(B10,AVM_Detay!A:G,5,FALSE()),0)</f>
        <v>40000</v>
      </c>
      <c r="L10" s="37">
        <f t="shared" si="2"/>
        <v>0</v>
      </c>
      <c r="M10" s="37">
        <f t="shared" si="3"/>
        <v>55500</v>
      </c>
      <c r="N10" s="25">
        <f>IFERROR(Veri_Girisi!E11,0)+IFERROR(SUMPRODUCT((Giderler!H6:H25="aylık")*(Giderler!B6:B25))/2,0)+IFERROR(SUMPRODUCT((Giderler!H6:H25="tek sefer")*(Giderler!J6:J25=A10)*(Giderler!B6:B25))/2,0)</f>
        <v>1000</v>
      </c>
      <c r="O10" s="37">
        <f t="shared" si="4"/>
        <v>56500</v>
      </c>
      <c r="P10" s="38">
        <f t="shared" si="5"/>
        <v>-56500</v>
      </c>
      <c r="Q10" s="90">
        <f>IFERROR(D10*Parametreler!B16/100,0)</f>
        <v>0</v>
      </c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87" t="str">
        <f>Veri_Girisi!A12</f>
        <v>2026-07</v>
      </c>
      <c r="B11" s="87" t="str">
        <f>Veri_Girisi!B12</f>
        <v>Bursa Zafer Plaza</v>
      </c>
      <c r="C11" s="88" t="str">
        <f>IFERROR(Veri_Girisi!C12,0)</f>
        <v/>
      </c>
      <c r="D11" s="17">
        <f>IFERROR(Veri_Girisi!D12,0)</f>
        <v>0</v>
      </c>
      <c r="E11" s="32">
        <f>IFERROR(D11*Parametreler!B5/(100+Parametreler!B5),0)</f>
        <v>0</v>
      </c>
      <c r="F11" s="32">
        <f t="shared" si="1"/>
        <v>0</v>
      </c>
      <c r="G11" s="17">
        <f>IFERROR(VLOOKUP(B11,AVM_Detay!A:G,2,FALSE()),0)</f>
        <v>40000</v>
      </c>
      <c r="H11" s="17">
        <f>IFERROR(VLOOKUP(B11,AVM_Detay!A:G,3,FALSE()),0)</f>
        <v>7500</v>
      </c>
      <c r="I11" s="32">
        <f>IFERROR(IF(Parametreler!B13="EVET",G11*Parametreler!B5/100,0),0)</f>
        <v>8000</v>
      </c>
      <c r="J11" s="89">
        <f>IFERROR(VLOOKUP(B11,AVM_Detay!A:G,4,FALSE()),0)</f>
        <v>15</v>
      </c>
      <c r="K11" s="17">
        <f>IFERROR(VLOOKUP(B11,AVM_Detay!A:G,5,FALSE()),0)</f>
        <v>40000</v>
      </c>
      <c r="L11" s="32">
        <f t="shared" si="2"/>
        <v>0</v>
      </c>
      <c r="M11" s="32">
        <f t="shared" si="3"/>
        <v>55500</v>
      </c>
      <c r="N11" s="17">
        <f>IFERROR(Veri_Girisi!E12,0)+IFERROR(SUMPRODUCT((Giderler!H6:H25="aylık")*(Giderler!B6:B25))/2,0)+IFERROR(SUMPRODUCT((Giderler!H6:H25="tek sefer")*(Giderler!J6:J25=A11)*(Giderler!B6:B25))/2,0)</f>
        <v>1000</v>
      </c>
      <c r="O11" s="32">
        <f t="shared" si="4"/>
        <v>56500</v>
      </c>
      <c r="P11" s="33">
        <f t="shared" si="5"/>
        <v>-56500</v>
      </c>
      <c r="Q11" s="90">
        <f>IFERROR(D11*Parametreler!B16/100,0)</f>
        <v>0</v>
      </c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91" t="str">
        <f>Veri_Girisi!A13</f>
        <v>2026-08</v>
      </c>
      <c r="B12" s="91" t="str">
        <f>Veri_Girisi!B13</f>
        <v>Bursa Zafer Plaza</v>
      </c>
      <c r="C12" s="92" t="str">
        <f>IFERROR(Veri_Girisi!C13,0)</f>
        <v/>
      </c>
      <c r="D12" s="25">
        <f>IFERROR(Veri_Girisi!D13,0)</f>
        <v>0</v>
      </c>
      <c r="E12" s="37">
        <f>IFERROR(D12*Parametreler!B5/(100+Parametreler!B5),0)</f>
        <v>0</v>
      </c>
      <c r="F12" s="37">
        <f t="shared" si="1"/>
        <v>0</v>
      </c>
      <c r="G12" s="25">
        <f>IFERROR(VLOOKUP(B12,AVM_Detay!A:G,2,FALSE()),0)</f>
        <v>40000</v>
      </c>
      <c r="H12" s="25">
        <f>IFERROR(VLOOKUP(B12,AVM_Detay!A:G,3,FALSE()),0)</f>
        <v>7500</v>
      </c>
      <c r="I12" s="37">
        <f>IFERROR(IF(Parametreler!B13="EVET",G12*Parametreler!B5/100,0),0)</f>
        <v>8000</v>
      </c>
      <c r="J12" s="93">
        <f>IFERROR(VLOOKUP(B12,AVM_Detay!A:G,4,FALSE()),0)</f>
        <v>15</v>
      </c>
      <c r="K12" s="25">
        <f>IFERROR(VLOOKUP(B12,AVM_Detay!A:G,5,FALSE()),0)</f>
        <v>40000</v>
      </c>
      <c r="L12" s="37">
        <f t="shared" si="2"/>
        <v>0</v>
      </c>
      <c r="M12" s="37">
        <f t="shared" si="3"/>
        <v>55500</v>
      </c>
      <c r="N12" s="25">
        <f>IFERROR(Veri_Girisi!E13,0)+IFERROR(SUMPRODUCT((Giderler!H6:H25="aylık")*(Giderler!B6:B25))/2,0)+IFERROR(SUMPRODUCT((Giderler!H6:H25="tek sefer")*(Giderler!J6:J25=A12)*(Giderler!B6:B25))/2,0)</f>
        <v>1000</v>
      </c>
      <c r="O12" s="37">
        <f t="shared" si="4"/>
        <v>56500</v>
      </c>
      <c r="P12" s="38">
        <f t="shared" si="5"/>
        <v>-56500</v>
      </c>
      <c r="Q12" s="90">
        <f>IFERROR(D12*Parametreler!B16/100,0)</f>
        <v>0</v>
      </c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87" t="str">
        <f>Veri_Girisi!A14</f>
        <v>2026-09</v>
      </c>
      <c r="B13" s="87" t="str">
        <f>Veri_Girisi!B14</f>
        <v>Bursa Zafer Plaza</v>
      </c>
      <c r="C13" s="88" t="str">
        <f>IFERROR(Veri_Girisi!C14,0)</f>
        <v/>
      </c>
      <c r="D13" s="17">
        <f>IFERROR(Veri_Girisi!D14,0)</f>
        <v>0</v>
      </c>
      <c r="E13" s="32">
        <f>IFERROR(D13*Parametreler!B5/(100+Parametreler!B5),0)</f>
        <v>0</v>
      </c>
      <c r="F13" s="32">
        <f t="shared" si="1"/>
        <v>0</v>
      </c>
      <c r="G13" s="17">
        <f>IFERROR(VLOOKUP(B13,AVM_Detay!A:G,2,FALSE()),0)</f>
        <v>40000</v>
      </c>
      <c r="H13" s="17">
        <f>IFERROR(VLOOKUP(B13,AVM_Detay!A:G,3,FALSE()),0)</f>
        <v>7500</v>
      </c>
      <c r="I13" s="32">
        <f>IFERROR(IF(Parametreler!B13="EVET",G13*Parametreler!B5/100,0),0)</f>
        <v>8000</v>
      </c>
      <c r="J13" s="89">
        <f>IFERROR(VLOOKUP(B13,AVM_Detay!A:G,4,FALSE()),0)</f>
        <v>15</v>
      </c>
      <c r="K13" s="17">
        <f>IFERROR(VLOOKUP(B13,AVM_Detay!A:G,5,FALSE()),0)</f>
        <v>40000</v>
      </c>
      <c r="L13" s="32">
        <f t="shared" si="2"/>
        <v>0</v>
      </c>
      <c r="M13" s="32">
        <f t="shared" si="3"/>
        <v>55500</v>
      </c>
      <c r="N13" s="17">
        <f>IFERROR(Veri_Girisi!E14,0)+IFERROR(SUMPRODUCT((Giderler!H6:H25="aylık")*(Giderler!B6:B25))/2,0)+IFERROR(SUMPRODUCT((Giderler!H6:H25="tek sefer")*(Giderler!J6:J25=A13)*(Giderler!B6:B25))/2,0)</f>
        <v>1000</v>
      </c>
      <c r="O13" s="32">
        <f t="shared" si="4"/>
        <v>56500</v>
      </c>
      <c r="P13" s="33">
        <f t="shared" si="5"/>
        <v>-56500</v>
      </c>
      <c r="Q13" s="90">
        <f>IFERROR(D13*Parametreler!B16/100,0)</f>
        <v>0</v>
      </c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91" t="str">
        <f>Veri_Girisi!A15</f>
        <v>2026-10</v>
      </c>
      <c r="B14" s="91" t="str">
        <f>Veri_Girisi!B15</f>
        <v>Bursa Zafer Plaza</v>
      </c>
      <c r="C14" s="92" t="str">
        <f>IFERROR(Veri_Girisi!C15,0)</f>
        <v/>
      </c>
      <c r="D14" s="25">
        <f>IFERROR(Veri_Girisi!D15,0)</f>
        <v>0</v>
      </c>
      <c r="E14" s="37">
        <f>IFERROR(D14*Parametreler!B5/(100+Parametreler!B5),0)</f>
        <v>0</v>
      </c>
      <c r="F14" s="37">
        <f t="shared" si="1"/>
        <v>0</v>
      </c>
      <c r="G14" s="25">
        <f>IFERROR(VLOOKUP(B14,AVM_Detay!A:G,2,FALSE()),0)</f>
        <v>40000</v>
      </c>
      <c r="H14" s="25">
        <f>IFERROR(VLOOKUP(B14,AVM_Detay!A:G,3,FALSE()),0)</f>
        <v>7500</v>
      </c>
      <c r="I14" s="37">
        <f>IFERROR(IF(Parametreler!B13="EVET",G14*Parametreler!B5/100,0),0)</f>
        <v>8000</v>
      </c>
      <c r="J14" s="93">
        <f>IFERROR(VLOOKUP(B14,AVM_Detay!A:G,4,FALSE()),0)</f>
        <v>15</v>
      </c>
      <c r="K14" s="25">
        <f>IFERROR(VLOOKUP(B14,AVM_Detay!A:G,5,FALSE()),0)</f>
        <v>40000</v>
      </c>
      <c r="L14" s="37">
        <f t="shared" si="2"/>
        <v>0</v>
      </c>
      <c r="M14" s="37">
        <f t="shared" si="3"/>
        <v>55500</v>
      </c>
      <c r="N14" s="25">
        <f>IFERROR(Veri_Girisi!E15,0)+IFERROR(SUMPRODUCT((Giderler!H6:H25="aylık")*(Giderler!B6:B25))/2,0)+IFERROR(SUMPRODUCT((Giderler!H6:H25="tek sefer")*(Giderler!J6:J25=A14)*(Giderler!B6:B25))/2,0)</f>
        <v>1000</v>
      </c>
      <c r="O14" s="37">
        <f t="shared" si="4"/>
        <v>56500</v>
      </c>
      <c r="P14" s="38">
        <f t="shared" si="5"/>
        <v>-56500</v>
      </c>
      <c r="Q14" s="90">
        <f>IFERROR(D14*Parametreler!B16/100,0)</f>
        <v>0</v>
      </c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87" t="str">
        <f>Veri_Girisi!A16</f>
        <v>2026-11</v>
      </c>
      <c r="B15" s="87" t="str">
        <f>Veri_Girisi!B16</f>
        <v>Bursa Zafer Plaza</v>
      </c>
      <c r="C15" s="88" t="str">
        <f>IFERROR(Veri_Girisi!C16,0)</f>
        <v/>
      </c>
      <c r="D15" s="17">
        <f>IFERROR(Veri_Girisi!D16,0)</f>
        <v>0</v>
      </c>
      <c r="E15" s="32">
        <f>IFERROR(D15*Parametreler!B5/(100+Parametreler!B5),0)</f>
        <v>0</v>
      </c>
      <c r="F15" s="32">
        <f t="shared" si="1"/>
        <v>0</v>
      </c>
      <c r="G15" s="17">
        <f>IFERROR(VLOOKUP(B15,AVM_Detay!A:G,2,FALSE()),0)</f>
        <v>40000</v>
      </c>
      <c r="H15" s="17">
        <f>IFERROR(VLOOKUP(B15,AVM_Detay!A:G,3,FALSE()),0)</f>
        <v>7500</v>
      </c>
      <c r="I15" s="32">
        <f>IFERROR(IF(Parametreler!B13="EVET",G15*Parametreler!B5/100,0),0)</f>
        <v>8000</v>
      </c>
      <c r="J15" s="89">
        <f>IFERROR(VLOOKUP(B15,AVM_Detay!A:G,4,FALSE()),0)</f>
        <v>15</v>
      </c>
      <c r="K15" s="17">
        <f>IFERROR(VLOOKUP(B15,AVM_Detay!A:G,5,FALSE()),0)</f>
        <v>40000</v>
      </c>
      <c r="L15" s="32">
        <f t="shared" si="2"/>
        <v>0</v>
      </c>
      <c r="M15" s="32">
        <f t="shared" si="3"/>
        <v>55500</v>
      </c>
      <c r="N15" s="17">
        <f>IFERROR(Veri_Girisi!E16,0)+IFERROR(SUMPRODUCT((Giderler!H6:H25="aylık")*(Giderler!B6:B25))/2,0)+IFERROR(SUMPRODUCT((Giderler!H6:H25="tek sefer")*(Giderler!J6:J25=A15)*(Giderler!B6:B25))/2,0)</f>
        <v>1000</v>
      </c>
      <c r="O15" s="32">
        <f t="shared" si="4"/>
        <v>56500</v>
      </c>
      <c r="P15" s="33">
        <f t="shared" si="5"/>
        <v>-56500</v>
      </c>
      <c r="Q15" s="90">
        <f>IFERROR(D15*Parametreler!B16/100,0)</f>
        <v>0</v>
      </c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91" t="str">
        <f>Veri_Girisi!A17</f>
        <v>2026-12</v>
      </c>
      <c r="B16" s="91" t="str">
        <f>Veri_Girisi!B17</f>
        <v>Bursa Zafer Plaza</v>
      </c>
      <c r="C16" s="92" t="str">
        <f>IFERROR(Veri_Girisi!C17,0)</f>
        <v/>
      </c>
      <c r="D16" s="25">
        <f>IFERROR(Veri_Girisi!D17,0)</f>
        <v>0</v>
      </c>
      <c r="E16" s="37">
        <f>IFERROR(D16*Parametreler!B5/(100+Parametreler!B5),0)</f>
        <v>0</v>
      </c>
      <c r="F16" s="37">
        <f t="shared" si="1"/>
        <v>0</v>
      </c>
      <c r="G16" s="25">
        <f>IFERROR(VLOOKUP(B16,AVM_Detay!A:G,2,FALSE()),0)</f>
        <v>40000</v>
      </c>
      <c r="H16" s="25">
        <f>IFERROR(VLOOKUP(B16,AVM_Detay!A:G,3,FALSE()),0)</f>
        <v>7500</v>
      </c>
      <c r="I16" s="37">
        <f>IFERROR(IF(Parametreler!B13="EVET",G16*Parametreler!B5/100,0),0)</f>
        <v>8000</v>
      </c>
      <c r="J16" s="93">
        <f>IFERROR(VLOOKUP(B16,AVM_Detay!A:G,4,FALSE()),0)</f>
        <v>15</v>
      </c>
      <c r="K16" s="25">
        <f>IFERROR(VLOOKUP(B16,AVM_Detay!A:G,5,FALSE()),0)</f>
        <v>40000</v>
      </c>
      <c r="L16" s="37">
        <f t="shared" si="2"/>
        <v>0</v>
      </c>
      <c r="M16" s="37">
        <f t="shared" si="3"/>
        <v>55500</v>
      </c>
      <c r="N16" s="25">
        <f>IFERROR(Veri_Girisi!E17,0)+IFERROR(SUMPRODUCT((Giderler!H6:H25="aylık")*(Giderler!B6:B25))/2,0)+IFERROR(SUMPRODUCT((Giderler!H6:H25="tek sefer")*(Giderler!J6:J25=A16)*(Giderler!B6:B25))/2,0)</f>
        <v>1000</v>
      </c>
      <c r="O16" s="37">
        <f t="shared" si="4"/>
        <v>56500</v>
      </c>
      <c r="P16" s="38">
        <f t="shared" si="5"/>
        <v>-56500</v>
      </c>
      <c r="Q16" s="90">
        <f>IFERROR(D16*Parametreler!B16/100,0)</f>
        <v>0</v>
      </c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87" t="str">
        <f>Veri_Girisi!A18</f>
        <v>2026-01</v>
      </c>
      <c r="B17" s="87" t="str">
        <f>Veri_Girisi!B18</f>
        <v>Mavibahçe</v>
      </c>
      <c r="C17" s="88" t="str">
        <f>IFERROR(Veri_Girisi!C18,0)</f>
        <v/>
      </c>
      <c r="D17" s="17">
        <f>IFERROR(Veri_Girisi!D18,0)</f>
        <v>0</v>
      </c>
      <c r="E17" s="32">
        <f>IFERROR(D17*Parametreler!B5/(100+Parametreler!B5),0)</f>
        <v>0</v>
      </c>
      <c r="F17" s="32">
        <f t="shared" si="1"/>
        <v>0</v>
      </c>
      <c r="G17" s="17">
        <f>IFERROR(VLOOKUP(B17,AVM_Detay!A:G,2,FALSE()),0)</f>
        <v>30000</v>
      </c>
      <c r="H17" s="17">
        <f>IFERROR(VLOOKUP(B17,AVM_Detay!A:G,3,FALSE()),0)</f>
        <v>1000</v>
      </c>
      <c r="I17" s="32">
        <f>IFERROR(IF(Parametreler!B13="EVET",G17*Parametreler!B5/100,0),0)</f>
        <v>6000</v>
      </c>
      <c r="J17" s="89">
        <f>IFERROR(VLOOKUP(B17,AVM_Detay!A:G,4,FALSE()),0)</f>
        <v>15</v>
      </c>
      <c r="K17" s="17">
        <f>IFERROR(VLOOKUP(B17,AVM_Detay!A:G,5,FALSE()),0)</f>
        <v>30000</v>
      </c>
      <c r="L17" s="32">
        <f t="shared" si="2"/>
        <v>0</v>
      </c>
      <c r="M17" s="32">
        <f t="shared" si="3"/>
        <v>37000</v>
      </c>
      <c r="N17" s="17">
        <f>IFERROR(Veri_Girisi!E18,0)+IFERROR(SUMPRODUCT((Giderler!H6:H25="aylık")*(Giderler!B6:B25))/2,0)+IFERROR(SUMPRODUCT((Giderler!H6:H25="tek sefer")*(Giderler!J6:J25=A17)*(Giderler!B6:B25))/2,0)</f>
        <v>1000</v>
      </c>
      <c r="O17" s="32">
        <f t="shared" si="4"/>
        <v>38000</v>
      </c>
      <c r="P17" s="33">
        <f t="shared" si="5"/>
        <v>-38000</v>
      </c>
      <c r="Q17" s="90">
        <f>IFERROR(D17*Parametreler!B16/100,0)</f>
        <v>0</v>
      </c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91" t="str">
        <f>Veri_Girisi!A19</f>
        <v>2026-02</v>
      </c>
      <c r="B18" s="91" t="str">
        <f>Veri_Girisi!B19</f>
        <v>Mavibahçe</v>
      </c>
      <c r="C18" s="92" t="str">
        <f>IFERROR(Veri_Girisi!C19,0)</f>
        <v/>
      </c>
      <c r="D18" s="25">
        <f>IFERROR(Veri_Girisi!D19,0)</f>
        <v>0</v>
      </c>
      <c r="E18" s="37">
        <f>IFERROR(D18*Parametreler!B5/(100+Parametreler!B5),0)</f>
        <v>0</v>
      </c>
      <c r="F18" s="37">
        <f t="shared" si="1"/>
        <v>0</v>
      </c>
      <c r="G18" s="25">
        <f>IFERROR(VLOOKUP(B18,AVM_Detay!A:G,2,FALSE()),0)</f>
        <v>30000</v>
      </c>
      <c r="H18" s="25">
        <f>IFERROR(VLOOKUP(B18,AVM_Detay!A:G,3,FALSE()),0)</f>
        <v>1000</v>
      </c>
      <c r="I18" s="37">
        <f>IFERROR(IF(Parametreler!B13="EVET",G18*Parametreler!B5/100,0),0)</f>
        <v>6000</v>
      </c>
      <c r="J18" s="93">
        <f>IFERROR(VLOOKUP(B18,AVM_Detay!A:G,4,FALSE()),0)</f>
        <v>15</v>
      </c>
      <c r="K18" s="25">
        <f>IFERROR(VLOOKUP(B18,AVM_Detay!A:G,5,FALSE()),0)</f>
        <v>30000</v>
      </c>
      <c r="L18" s="37">
        <f t="shared" si="2"/>
        <v>0</v>
      </c>
      <c r="M18" s="37">
        <f t="shared" si="3"/>
        <v>37000</v>
      </c>
      <c r="N18" s="25">
        <f>IFERROR(Veri_Girisi!E19,0)+IFERROR(SUMPRODUCT((Giderler!H6:H25="aylık")*(Giderler!B6:B25))/2,0)+IFERROR(SUMPRODUCT((Giderler!H6:H25="tek sefer")*(Giderler!J6:J25=A18)*(Giderler!B6:B25))/2,0)</f>
        <v>1000</v>
      </c>
      <c r="O18" s="37">
        <f t="shared" si="4"/>
        <v>38000</v>
      </c>
      <c r="P18" s="38">
        <f t="shared" si="5"/>
        <v>-38000</v>
      </c>
      <c r="Q18" s="90">
        <f>IFERROR(D18*Parametreler!B16/100,0)</f>
        <v>0</v>
      </c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87" t="str">
        <f>Veri_Girisi!A20</f>
        <v>2026-03</v>
      </c>
      <c r="B19" s="87" t="str">
        <f>Veri_Girisi!B20</f>
        <v>Mavibahçe</v>
      </c>
      <c r="C19" s="88">
        <f>IFERROR(Veri_Girisi!C20,0)</f>
        <v>49</v>
      </c>
      <c r="D19" s="17">
        <f>IFERROR(Veri_Girisi!D20,0)</f>
        <v>14700</v>
      </c>
      <c r="E19" s="32">
        <f>IFERROR(D19*Parametreler!B5/(100+Parametreler!B5),0)</f>
        <v>2450</v>
      </c>
      <c r="F19" s="32">
        <f t="shared" si="1"/>
        <v>12250</v>
      </c>
      <c r="G19" s="17">
        <f>IFERROR(VLOOKUP(B19,AVM_Detay!A:G,2,FALSE()),0)</f>
        <v>30000</v>
      </c>
      <c r="H19" s="17">
        <f>IFERROR(VLOOKUP(B19,AVM_Detay!A:G,3,FALSE()),0)</f>
        <v>1000</v>
      </c>
      <c r="I19" s="32">
        <f>IFERROR(IF(Parametreler!B13="EVET",G19*Parametreler!B5/100,0),0)</f>
        <v>6000</v>
      </c>
      <c r="J19" s="89">
        <f>IFERROR(VLOOKUP(B19,AVM_Detay!A:G,4,FALSE()),0)</f>
        <v>15</v>
      </c>
      <c r="K19" s="17">
        <f>IFERROR(VLOOKUP(B19,AVM_Detay!A:G,5,FALSE()),0)</f>
        <v>30000</v>
      </c>
      <c r="L19" s="32">
        <f t="shared" si="2"/>
        <v>0</v>
      </c>
      <c r="M19" s="32">
        <f t="shared" si="3"/>
        <v>37000</v>
      </c>
      <c r="N19" s="17">
        <f>IFERROR(Veri_Girisi!E20,0)+IFERROR(SUMPRODUCT((Giderler!H6:H25="aylık")*(Giderler!B6:B25))/2,0)+IFERROR(SUMPRODUCT((Giderler!H6:H25="tek sefer")*(Giderler!J6:J25=A19)*(Giderler!B6:B25))/2,0)</f>
        <v>8217.5</v>
      </c>
      <c r="O19" s="32">
        <f t="shared" si="4"/>
        <v>45217.5</v>
      </c>
      <c r="P19" s="33">
        <f t="shared" si="5"/>
        <v>-33555.5</v>
      </c>
      <c r="Q19" s="90">
        <f>IFERROR(D19*Parametreler!B16/100,0)</f>
        <v>588</v>
      </c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91" t="str">
        <f>Veri_Girisi!A21</f>
        <v>2026-04</v>
      </c>
      <c r="B20" s="91" t="str">
        <f>Veri_Girisi!B21</f>
        <v>Mavibahçe</v>
      </c>
      <c r="C20" s="92" t="str">
        <f>IFERROR(Veri_Girisi!C21,0)</f>
        <v/>
      </c>
      <c r="D20" s="25">
        <f>IFERROR(Veri_Girisi!D21,0)</f>
        <v>0</v>
      </c>
      <c r="E20" s="37">
        <f>IFERROR(D20*Parametreler!B5/(100+Parametreler!B5),0)</f>
        <v>0</v>
      </c>
      <c r="F20" s="37">
        <f t="shared" si="1"/>
        <v>0</v>
      </c>
      <c r="G20" s="25">
        <f>IFERROR(VLOOKUP(B20,AVM_Detay!A:G,2,FALSE()),0)</f>
        <v>30000</v>
      </c>
      <c r="H20" s="25">
        <f>IFERROR(VLOOKUP(B20,AVM_Detay!A:G,3,FALSE()),0)</f>
        <v>1000</v>
      </c>
      <c r="I20" s="37">
        <f>IFERROR(IF(Parametreler!B13="EVET",G20*Parametreler!B5/100,0),0)</f>
        <v>6000</v>
      </c>
      <c r="J20" s="93">
        <f>IFERROR(VLOOKUP(B20,AVM_Detay!A:G,4,FALSE()),0)</f>
        <v>15</v>
      </c>
      <c r="K20" s="25">
        <f>IFERROR(VLOOKUP(B20,AVM_Detay!A:G,5,FALSE()),0)</f>
        <v>30000</v>
      </c>
      <c r="L20" s="37">
        <f t="shared" si="2"/>
        <v>0</v>
      </c>
      <c r="M20" s="37">
        <f t="shared" si="3"/>
        <v>37000</v>
      </c>
      <c r="N20" s="25">
        <f>IFERROR(Veri_Girisi!E21,0)+IFERROR(SUMPRODUCT((Giderler!H6:H25="aylık")*(Giderler!B6:B25))/2,0)+IFERROR(SUMPRODUCT((Giderler!H6:H25="tek sefer")*(Giderler!J6:J25=A20)*(Giderler!B6:B25))/2,0)</f>
        <v>1000</v>
      </c>
      <c r="O20" s="37">
        <f t="shared" si="4"/>
        <v>38000</v>
      </c>
      <c r="P20" s="38">
        <f t="shared" si="5"/>
        <v>-38000</v>
      </c>
      <c r="Q20" s="90">
        <f>IFERROR(D20*Parametreler!B16/100,0)</f>
        <v>0</v>
      </c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87" t="str">
        <f>Veri_Girisi!A22</f>
        <v>2026-05</v>
      </c>
      <c r="B21" s="87" t="str">
        <f>Veri_Girisi!B22</f>
        <v>Mavibahçe</v>
      </c>
      <c r="C21" s="88" t="str">
        <f>IFERROR(Veri_Girisi!C22,0)</f>
        <v/>
      </c>
      <c r="D21" s="17">
        <f>IFERROR(Veri_Girisi!D22,0)</f>
        <v>0</v>
      </c>
      <c r="E21" s="32">
        <f>IFERROR(D21*Parametreler!B5/(100+Parametreler!B5),0)</f>
        <v>0</v>
      </c>
      <c r="F21" s="32">
        <f t="shared" si="1"/>
        <v>0</v>
      </c>
      <c r="G21" s="17">
        <f>IFERROR(VLOOKUP(B21,AVM_Detay!A:G,2,FALSE()),0)</f>
        <v>30000</v>
      </c>
      <c r="H21" s="17">
        <f>IFERROR(VLOOKUP(B21,AVM_Detay!A:G,3,FALSE()),0)</f>
        <v>1000</v>
      </c>
      <c r="I21" s="32">
        <f>IFERROR(IF(Parametreler!B13="EVET",G21*Parametreler!B5/100,0),0)</f>
        <v>6000</v>
      </c>
      <c r="J21" s="89">
        <f>IFERROR(VLOOKUP(B21,AVM_Detay!A:G,4,FALSE()),0)</f>
        <v>15</v>
      </c>
      <c r="K21" s="17">
        <f>IFERROR(VLOOKUP(B21,AVM_Detay!A:G,5,FALSE()),0)</f>
        <v>30000</v>
      </c>
      <c r="L21" s="32">
        <f t="shared" si="2"/>
        <v>0</v>
      </c>
      <c r="M21" s="32">
        <f t="shared" si="3"/>
        <v>37000</v>
      </c>
      <c r="N21" s="17">
        <f>IFERROR(Veri_Girisi!E22,0)+IFERROR(SUMPRODUCT((Giderler!H6:H25="aylık")*(Giderler!B6:B25))/2,0)+IFERROR(SUMPRODUCT((Giderler!H6:H25="tek sefer")*(Giderler!J6:J25=A21)*(Giderler!B6:B25))/2,0)</f>
        <v>1000</v>
      </c>
      <c r="O21" s="32">
        <f t="shared" si="4"/>
        <v>38000</v>
      </c>
      <c r="P21" s="33">
        <f t="shared" si="5"/>
        <v>-38000</v>
      </c>
      <c r="Q21" s="90">
        <f>IFERROR(D21*Parametreler!B16/100,0)</f>
        <v>0</v>
      </c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91" t="str">
        <f>Veri_Girisi!A23</f>
        <v>2026-06</v>
      </c>
      <c r="B22" s="91" t="str">
        <f>Veri_Girisi!B23</f>
        <v>Mavibahçe</v>
      </c>
      <c r="C22" s="92" t="str">
        <f>IFERROR(Veri_Girisi!C23,0)</f>
        <v/>
      </c>
      <c r="D22" s="25">
        <f>IFERROR(Veri_Girisi!D23,0)</f>
        <v>0</v>
      </c>
      <c r="E22" s="37">
        <f>IFERROR(D22*Parametreler!B5/(100+Parametreler!B5),0)</f>
        <v>0</v>
      </c>
      <c r="F22" s="37">
        <f t="shared" si="1"/>
        <v>0</v>
      </c>
      <c r="G22" s="25">
        <f>IFERROR(VLOOKUP(B22,AVM_Detay!A:G,2,FALSE()),0)</f>
        <v>30000</v>
      </c>
      <c r="H22" s="25">
        <f>IFERROR(VLOOKUP(B22,AVM_Detay!A:G,3,FALSE()),0)</f>
        <v>1000</v>
      </c>
      <c r="I22" s="37">
        <f>IFERROR(IF(Parametreler!B13="EVET",G22*Parametreler!B5/100,0),0)</f>
        <v>6000</v>
      </c>
      <c r="J22" s="93">
        <f>IFERROR(VLOOKUP(B22,AVM_Detay!A:G,4,FALSE()),0)</f>
        <v>15</v>
      </c>
      <c r="K22" s="25">
        <f>IFERROR(VLOOKUP(B22,AVM_Detay!A:G,5,FALSE()),0)</f>
        <v>30000</v>
      </c>
      <c r="L22" s="37">
        <f t="shared" si="2"/>
        <v>0</v>
      </c>
      <c r="M22" s="37">
        <f t="shared" si="3"/>
        <v>37000</v>
      </c>
      <c r="N22" s="25">
        <f>IFERROR(Veri_Girisi!E23,0)+IFERROR(SUMPRODUCT((Giderler!H6:H25="aylık")*(Giderler!B6:B25))/2,0)+IFERROR(SUMPRODUCT((Giderler!H6:H25="tek sefer")*(Giderler!J6:J25=A22)*(Giderler!B6:B25))/2,0)</f>
        <v>1000</v>
      </c>
      <c r="O22" s="37">
        <f t="shared" si="4"/>
        <v>38000</v>
      </c>
      <c r="P22" s="38">
        <f t="shared" si="5"/>
        <v>-38000</v>
      </c>
      <c r="Q22" s="90">
        <f>IFERROR(D22*Parametreler!B16/100,0)</f>
        <v>0</v>
      </c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87" t="str">
        <f>Veri_Girisi!A24</f>
        <v>2026-07</v>
      </c>
      <c r="B23" s="87" t="str">
        <f>Veri_Girisi!B24</f>
        <v>Mavibahçe</v>
      </c>
      <c r="C23" s="88" t="str">
        <f>IFERROR(Veri_Girisi!C24,0)</f>
        <v/>
      </c>
      <c r="D23" s="17">
        <f>IFERROR(Veri_Girisi!D24,0)</f>
        <v>0</v>
      </c>
      <c r="E23" s="32">
        <f>IFERROR(D23*Parametreler!B5/(100+Parametreler!B5),0)</f>
        <v>0</v>
      </c>
      <c r="F23" s="32">
        <f t="shared" si="1"/>
        <v>0</v>
      </c>
      <c r="G23" s="17">
        <f>IFERROR(VLOOKUP(B23,AVM_Detay!A:G,2,FALSE()),0)</f>
        <v>30000</v>
      </c>
      <c r="H23" s="17">
        <f>IFERROR(VLOOKUP(B23,AVM_Detay!A:G,3,FALSE()),0)</f>
        <v>1000</v>
      </c>
      <c r="I23" s="32">
        <f>IFERROR(IF(Parametreler!B13="EVET",G23*Parametreler!B5/100,0),0)</f>
        <v>6000</v>
      </c>
      <c r="J23" s="89">
        <f>IFERROR(VLOOKUP(B23,AVM_Detay!A:G,4,FALSE()),0)</f>
        <v>15</v>
      </c>
      <c r="K23" s="17">
        <f>IFERROR(VLOOKUP(B23,AVM_Detay!A:G,5,FALSE()),0)</f>
        <v>30000</v>
      </c>
      <c r="L23" s="32">
        <f t="shared" si="2"/>
        <v>0</v>
      </c>
      <c r="M23" s="32">
        <f t="shared" si="3"/>
        <v>37000</v>
      </c>
      <c r="N23" s="17">
        <f>IFERROR(Veri_Girisi!E24,0)+IFERROR(SUMPRODUCT((Giderler!H6:H25="aylık")*(Giderler!B6:B25))/2,0)+IFERROR(SUMPRODUCT((Giderler!H6:H25="tek sefer")*(Giderler!J6:J25=A23)*(Giderler!B6:B25))/2,0)</f>
        <v>1000</v>
      </c>
      <c r="O23" s="32">
        <f t="shared" si="4"/>
        <v>38000</v>
      </c>
      <c r="P23" s="33">
        <f t="shared" si="5"/>
        <v>-38000</v>
      </c>
      <c r="Q23" s="90">
        <f>IFERROR(D23*Parametreler!B16/100,0)</f>
        <v>0</v>
      </c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91" t="str">
        <f>Veri_Girisi!A25</f>
        <v>2026-08</v>
      </c>
      <c r="B24" s="91" t="str">
        <f>Veri_Girisi!B25</f>
        <v>Mavibahçe</v>
      </c>
      <c r="C24" s="92" t="str">
        <f>IFERROR(Veri_Girisi!C25,0)</f>
        <v/>
      </c>
      <c r="D24" s="25">
        <f>IFERROR(Veri_Girisi!D25,0)</f>
        <v>0</v>
      </c>
      <c r="E24" s="37">
        <f>IFERROR(D24*Parametreler!B5/(100+Parametreler!B5),0)</f>
        <v>0</v>
      </c>
      <c r="F24" s="37">
        <f t="shared" si="1"/>
        <v>0</v>
      </c>
      <c r="G24" s="25">
        <f>IFERROR(VLOOKUP(B24,AVM_Detay!A:G,2,FALSE()),0)</f>
        <v>30000</v>
      </c>
      <c r="H24" s="25">
        <f>IFERROR(VLOOKUP(B24,AVM_Detay!A:G,3,FALSE()),0)</f>
        <v>1000</v>
      </c>
      <c r="I24" s="37">
        <f>IFERROR(IF(Parametreler!B13="EVET",G24*Parametreler!B5/100,0),0)</f>
        <v>6000</v>
      </c>
      <c r="J24" s="93">
        <f>IFERROR(VLOOKUP(B24,AVM_Detay!A:G,4,FALSE()),0)</f>
        <v>15</v>
      </c>
      <c r="K24" s="25">
        <f>IFERROR(VLOOKUP(B24,AVM_Detay!A:G,5,FALSE()),0)</f>
        <v>30000</v>
      </c>
      <c r="L24" s="37">
        <f t="shared" si="2"/>
        <v>0</v>
      </c>
      <c r="M24" s="37">
        <f t="shared" si="3"/>
        <v>37000</v>
      </c>
      <c r="N24" s="25">
        <f>IFERROR(Veri_Girisi!E25,0)+IFERROR(SUMPRODUCT((Giderler!H6:H25="aylık")*(Giderler!B6:B25))/2,0)+IFERROR(SUMPRODUCT((Giderler!H6:H25="tek sefer")*(Giderler!J6:J25=A24)*(Giderler!B6:B25))/2,0)</f>
        <v>1000</v>
      </c>
      <c r="O24" s="37">
        <f t="shared" si="4"/>
        <v>38000</v>
      </c>
      <c r="P24" s="38">
        <f t="shared" si="5"/>
        <v>-38000</v>
      </c>
      <c r="Q24" s="90">
        <f>IFERROR(D24*Parametreler!B16/100,0)</f>
        <v>0</v>
      </c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87" t="str">
        <f>Veri_Girisi!A26</f>
        <v>2026-09</v>
      </c>
      <c r="B25" s="87" t="str">
        <f>Veri_Girisi!B26</f>
        <v>Mavibahçe</v>
      </c>
      <c r="C25" s="88" t="str">
        <f>IFERROR(Veri_Girisi!C26,0)</f>
        <v/>
      </c>
      <c r="D25" s="17">
        <f>IFERROR(Veri_Girisi!D26,0)</f>
        <v>0</v>
      </c>
      <c r="E25" s="32">
        <f>IFERROR(D25*Parametreler!B5/(100+Parametreler!B5),0)</f>
        <v>0</v>
      </c>
      <c r="F25" s="32">
        <f t="shared" si="1"/>
        <v>0</v>
      </c>
      <c r="G25" s="17">
        <f>IFERROR(VLOOKUP(B25,AVM_Detay!A:G,2,FALSE()),0)</f>
        <v>30000</v>
      </c>
      <c r="H25" s="17">
        <f>IFERROR(VLOOKUP(B25,AVM_Detay!A:G,3,FALSE()),0)</f>
        <v>1000</v>
      </c>
      <c r="I25" s="32">
        <f>IFERROR(IF(Parametreler!B13="EVET",G25*Parametreler!B5/100,0),0)</f>
        <v>6000</v>
      </c>
      <c r="J25" s="89">
        <f>IFERROR(VLOOKUP(B25,AVM_Detay!A:G,4,FALSE()),0)</f>
        <v>15</v>
      </c>
      <c r="K25" s="17">
        <f>IFERROR(VLOOKUP(B25,AVM_Detay!A:G,5,FALSE()),0)</f>
        <v>30000</v>
      </c>
      <c r="L25" s="32">
        <f t="shared" si="2"/>
        <v>0</v>
      </c>
      <c r="M25" s="32">
        <f t="shared" si="3"/>
        <v>37000</v>
      </c>
      <c r="N25" s="17">
        <f>IFERROR(Veri_Girisi!E26,0)+IFERROR(SUMPRODUCT((Giderler!H6:H25="aylık")*(Giderler!B6:B25))/2,0)+IFERROR(SUMPRODUCT((Giderler!H6:H25="tek sefer")*(Giderler!J6:J25=A25)*(Giderler!B6:B25))/2,0)</f>
        <v>1000</v>
      </c>
      <c r="O25" s="32">
        <f t="shared" si="4"/>
        <v>38000</v>
      </c>
      <c r="P25" s="33">
        <f t="shared" si="5"/>
        <v>-38000</v>
      </c>
      <c r="Q25" s="90">
        <f>IFERROR(D25*Parametreler!B16/100,0)</f>
        <v>0</v>
      </c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91" t="str">
        <f>Veri_Girisi!A27</f>
        <v>2026-10</v>
      </c>
      <c r="B26" s="91" t="str">
        <f>Veri_Girisi!B27</f>
        <v>Mavibahçe</v>
      </c>
      <c r="C26" s="92" t="str">
        <f>IFERROR(Veri_Girisi!C27,0)</f>
        <v/>
      </c>
      <c r="D26" s="25">
        <f>IFERROR(Veri_Girisi!D27,0)</f>
        <v>0</v>
      </c>
      <c r="E26" s="37">
        <f>IFERROR(D26*Parametreler!B5/(100+Parametreler!B5),0)</f>
        <v>0</v>
      </c>
      <c r="F26" s="37">
        <f t="shared" si="1"/>
        <v>0</v>
      </c>
      <c r="G26" s="25">
        <f>IFERROR(VLOOKUP(B26,AVM_Detay!A:G,2,FALSE()),0)</f>
        <v>30000</v>
      </c>
      <c r="H26" s="25">
        <f>IFERROR(VLOOKUP(B26,AVM_Detay!A:G,3,FALSE()),0)</f>
        <v>1000</v>
      </c>
      <c r="I26" s="37">
        <f>IFERROR(IF(Parametreler!B13="EVET",G26*Parametreler!B5/100,0),0)</f>
        <v>6000</v>
      </c>
      <c r="J26" s="93">
        <f>IFERROR(VLOOKUP(B26,AVM_Detay!A:G,4,FALSE()),0)</f>
        <v>15</v>
      </c>
      <c r="K26" s="25">
        <f>IFERROR(VLOOKUP(B26,AVM_Detay!A:G,5,FALSE()),0)</f>
        <v>30000</v>
      </c>
      <c r="L26" s="37">
        <f t="shared" si="2"/>
        <v>0</v>
      </c>
      <c r="M26" s="37">
        <f t="shared" si="3"/>
        <v>37000</v>
      </c>
      <c r="N26" s="25">
        <f>IFERROR(Veri_Girisi!E27,0)+IFERROR(SUMPRODUCT((Giderler!H6:H25="aylık")*(Giderler!B6:B25))/2,0)+IFERROR(SUMPRODUCT((Giderler!H6:H25="tek sefer")*(Giderler!J6:J25=A26)*(Giderler!B6:B25))/2,0)</f>
        <v>1000</v>
      </c>
      <c r="O26" s="37">
        <f t="shared" si="4"/>
        <v>38000</v>
      </c>
      <c r="P26" s="38">
        <f t="shared" si="5"/>
        <v>-38000</v>
      </c>
      <c r="Q26" s="90">
        <f>IFERROR(D26*Parametreler!B16/100,0)</f>
        <v>0</v>
      </c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87" t="str">
        <f>Veri_Girisi!A28</f>
        <v>2026-11</v>
      </c>
      <c r="B27" s="87" t="str">
        <f>Veri_Girisi!B28</f>
        <v>Mavibahçe</v>
      </c>
      <c r="C27" s="88" t="str">
        <f>IFERROR(Veri_Girisi!C28,0)</f>
        <v/>
      </c>
      <c r="D27" s="17">
        <f>IFERROR(Veri_Girisi!D28,0)</f>
        <v>0</v>
      </c>
      <c r="E27" s="32">
        <f>IFERROR(D27*Parametreler!B5/(100+Parametreler!B5),0)</f>
        <v>0</v>
      </c>
      <c r="F27" s="32">
        <f t="shared" si="1"/>
        <v>0</v>
      </c>
      <c r="G27" s="17">
        <f>IFERROR(VLOOKUP(B27,AVM_Detay!A:G,2,FALSE()),0)</f>
        <v>30000</v>
      </c>
      <c r="H27" s="17">
        <f>IFERROR(VLOOKUP(B27,AVM_Detay!A:G,3,FALSE()),0)</f>
        <v>1000</v>
      </c>
      <c r="I27" s="32">
        <f>IFERROR(IF(Parametreler!B13="EVET",G27*Parametreler!B5/100,0),0)</f>
        <v>6000</v>
      </c>
      <c r="J27" s="89">
        <f>IFERROR(VLOOKUP(B27,AVM_Detay!A:G,4,FALSE()),0)</f>
        <v>15</v>
      </c>
      <c r="K27" s="17">
        <f>IFERROR(VLOOKUP(B27,AVM_Detay!A:G,5,FALSE()),0)</f>
        <v>30000</v>
      </c>
      <c r="L27" s="32">
        <f t="shared" si="2"/>
        <v>0</v>
      </c>
      <c r="M27" s="32">
        <f t="shared" si="3"/>
        <v>37000</v>
      </c>
      <c r="N27" s="17">
        <f>IFERROR(Veri_Girisi!E28,0)+IFERROR(SUMPRODUCT((Giderler!H6:H25="aylık")*(Giderler!B6:B25))/2,0)+IFERROR(SUMPRODUCT((Giderler!H6:H25="tek sefer")*(Giderler!J6:J25=A27)*(Giderler!B6:B25))/2,0)</f>
        <v>1000</v>
      </c>
      <c r="O27" s="32">
        <f t="shared" si="4"/>
        <v>38000</v>
      </c>
      <c r="P27" s="33">
        <f t="shared" si="5"/>
        <v>-38000</v>
      </c>
      <c r="Q27" s="90">
        <f>IFERROR(D27*Parametreler!B16/100,0)</f>
        <v>0</v>
      </c>
      <c r="R27" s="4"/>
      <c r="S27" s="4"/>
      <c r="T27" s="4"/>
      <c r="U27" s="4"/>
      <c r="V27" s="4"/>
      <c r="W27" s="4"/>
      <c r="X27" s="4"/>
      <c r="Y27" s="4"/>
      <c r="Z27" s="4"/>
    </row>
    <row r="28" ht="21.75" customHeight="1">
      <c r="A28" s="91" t="str">
        <f>Veri_Girisi!A29</f>
        <v>2026-12</v>
      </c>
      <c r="B28" s="91" t="str">
        <f>Veri_Girisi!B29</f>
        <v>Mavibahçe</v>
      </c>
      <c r="C28" s="92" t="str">
        <f>IFERROR(Veri_Girisi!C29,0)</f>
        <v/>
      </c>
      <c r="D28" s="25">
        <f>IFERROR(Veri_Girisi!D29,0)</f>
        <v>0</v>
      </c>
      <c r="E28" s="37">
        <f>IFERROR(D28*Parametreler!B5/(100+Parametreler!B5),0)</f>
        <v>0</v>
      </c>
      <c r="F28" s="37">
        <f t="shared" si="1"/>
        <v>0</v>
      </c>
      <c r="G28" s="25">
        <f>IFERROR(VLOOKUP(B28,AVM_Detay!A:G,2,FALSE()),0)</f>
        <v>30000</v>
      </c>
      <c r="H28" s="25">
        <f>IFERROR(VLOOKUP(B28,AVM_Detay!A:G,3,FALSE()),0)</f>
        <v>1000</v>
      </c>
      <c r="I28" s="37">
        <f>IFERROR(IF(Parametreler!B13="EVET",G28*Parametreler!B5/100,0),0)</f>
        <v>6000</v>
      </c>
      <c r="J28" s="93">
        <f>IFERROR(VLOOKUP(B28,AVM_Detay!A:G,4,FALSE()),0)</f>
        <v>15</v>
      </c>
      <c r="K28" s="25">
        <f>IFERROR(VLOOKUP(B28,AVM_Detay!A:G,5,FALSE()),0)</f>
        <v>30000</v>
      </c>
      <c r="L28" s="37">
        <f t="shared" si="2"/>
        <v>0</v>
      </c>
      <c r="M28" s="37">
        <f t="shared" si="3"/>
        <v>37000</v>
      </c>
      <c r="N28" s="25">
        <f>IFERROR(Veri_Girisi!E29,0)+IFERROR(SUMPRODUCT((Giderler!H6:H25="aylık")*(Giderler!B6:B25))/2,0)+IFERROR(SUMPRODUCT((Giderler!H6:H25="tek sefer")*(Giderler!J6:J25=A28)*(Giderler!B6:B25))/2,0)</f>
        <v>1000</v>
      </c>
      <c r="O28" s="37">
        <f t="shared" si="4"/>
        <v>38000</v>
      </c>
      <c r="P28" s="38">
        <f t="shared" si="5"/>
        <v>-38000</v>
      </c>
      <c r="Q28" s="90">
        <f>IFERROR(D28*Parametreler!B16/100,0)</f>
        <v>0</v>
      </c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P1"/>
    <mergeCell ref="A3:H3"/>
  </mergeCells>
  <conditionalFormatting sqref="P5:P28">
    <cfRule type="cellIs" dxfId="2" priority="1" operator="lessThan">
      <formula>0</formula>
    </cfRule>
  </conditionalFormatting>
  <conditionalFormatting sqref="P5:P28">
    <cfRule type="cellIs" dxfId="3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2.0"/>
    <col customWidth="1" min="2" max="3" width="16.0"/>
    <col customWidth="1" min="4" max="4" width="15.0"/>
    <col customWidth="1" min="5" max="6" width="14.0"/>
    <col customWidth="1" min="7" max="7" width="16.0"/>
  </cols>
  <sheetData>
    <row r="1" ht="31.5" customHeight="1">
      <c r="A1" s="1" t="s">
        <v>191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5"/>
      <c r="C2" s="5"/>
      <c r="D2" s="5"/>
      <c r="E2" s="5"/>
      <c r="F2" s="5"/>
      <c r="G2" s="5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15" t="s">
        <v>33</v>
      </c>
      <c r="B3" s="15" t="s">
        <v>192</v>
      </c>
      <c r="C3" s="15" t="s">
        <v>13</v>
      </c>
      <c r="D3" s="15" t="s">
        <v>193</v>
      </c>
      <c r="E3" s="15" t="s">
        <v>128</v>
      </c>
      <c r="F3" s="15" t="s">
        <v>194</v>
      </c>
      <c r="G3" s="15" t="s">
        <v>64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1.75" customHeight="1">
      <c r="A4" s="16" t="s">
        <v>38</v>
      </c>
      <c r="B4" s="17">
        <f>IFERROR(SUMIFS(Hesaplama!D:D,Hesaplama!A:A,A4),0)</f>
        <v>0</v>
      </c>
      <c r="C4" s="31">
        <f>IFERROR(SUMIFS(Hesaplama!O:O,Hesaplama!A:A,A4),0)</f>
        <v>94500</v>
      </c>
      <c r="D4" s="33">
        <f t="shared" ref="D4:D15" si="1">IFERROR(B4-C4,0)</f>
        <v>-94500</v>
      </c>
      <c r="E4" s="94">
        <f>IFERROR(D4*Parametreler!B10/100,0)</f>
        <v>-47250</v>
      </c>
      <c r="F4" s="94">
        <f>IFERROR(D4*Parametreler!B11/100,0)</f>
        <v>-47250</v>
      </c>
      <c r="G4" s="33">
        <f>IFERROR(D4,0)</f>
        <v>-94500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24" t="s">
        <v>39</v>
      </c>
      <c r="B5" s="25">
        <f>IFERROR(SUMIFS(Hesaplama!D:D,Hesaplama!A:A,A5),0)</f>
        <v>0</v>
      </c>
      <c r="C5" s="36">
        <f>IFERROR(SUMIFS(Hesaplama!O:O,Hesaplama!A:A,A5),0)</f>
        <v>94500</v>
      </c>
      <c r="D5" s="38">
        <f t="shared" si="1"/>
        <v>-94500</v>
      </c>
      <c r="E5" s="95">
        <f>IFERROR(D5*Parametreler!B10/100,0)</f>
        <v>-47250</v>
      </c>
      <c r="F5" s="95">
        <f>IFERROR(D5*Parametreler!B11/100,0)</f>
        <v>-47250</v>
      </c>
      <c r="G5" s="38">
        <f t="shared" ref="G5:G15" si="2">IFERROR(G4+D5,0)</f>
        <v>-189000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6" t="s">
        <v>40</v>
      </c>
      <c r="B6" s="17">
        <f>IFERROR(SUMIFS(Hesaplama!D:D,Hesaplama!A:A,A6),0)</f>
        <v>29700</v>
      </c>
      <c r="C6" s="31">
        <f>IFERROR(SUMIFS(Hesaplama!O:O,Hesaplama!A:A,A6),0)</f>
        <v>108935</v>
      </c>
      <c r="D6" s="33">
        <f t="shared" si="1"/>
        <v>-79235</v>
      </c>
      <c r="E6" s="94">
        <f>IFERROR(D6*Parametreler!B10/100,0)</f>
        <v>-39617.5</v>
      </c>
      <c r="F6" s="94">
        <f>IFERROR(D6*Parametreler!B11/100,0)</f>
        <v>-39617.5</v>
      </c>
      <c r="G6" s="33">
        <f t="shared" si="2"/>
        <v>-268235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24" t="s">
        <v>41</v>
      </c>
      <c r="B7" s="25">
        <f>IFERROR(SUMIFS(Hesaplama!D:D,Hesaplama!A:A,A7),0)</f>
        <v>0</v>
      </c>
      <c r="C7" s="36">
        <f>IFERROR(SUMIFS(Hesaplama!O:O,Hesaplama!A:A,A7),0)</f>
        <v>94500</v>
      </c>
      <c r="D7" s="38">
        <f t="shared" si="1"/>
        <v>-94500</v>
      </c>
      <c r="E7" s="95">
        <f>IFERROR(D7*Parametreler!B10/100,0)</f>
        <v>-47250</v>
      </c>
      <c r="F7" s="95">
        <f>IFERROR(D7*Parametreler!B11/100,0)</f>
        <v>-47250</v>
      </c>
      <c r="G7" s="38">
        <f t="shared" si="2"/>
        <v>-362735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6" t="s">
        <v>42</v>
      </c>
      <c r="B8" s="17">
        <f>IFERROR(SUMIFS(Hesaplama!D:D,Hesaplama!A:A,A8),0)</f>
        <v>0</v>
      </c>
      <c r="C8" s="31">
        <f>IFERROR(SUMIFS(Hesaplama!O:O,Hesaplama!A:A,A8),0)</f>
        <v>94500</v>
      </c>
      <c r="D8" s="33">
        <f t="shared" si="1"/>
        <v>-94500</v>
      </c>
      <c r="E8" s="94">
        <f>IFERROR(D8*Parametreler!B10/100,0)</f>
        <v>-47250</v>
      </c>
      <c r="F8" s="94">
        <f>IFERROR(D8*Parametreler!B11/100,0)</f>
        <v>-47250</v>
      </c>
      <c r="G8" s="33">
        <f t="shared" si="2"/>
        <v>-457235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24" t="s">
        <v>43</v>
      </c>
      <c r="B9" s="25">
        <f>IFERROR(SUMIFS(Hesaplama!D:D,Hesaplama!A:A,A9),0)</f>
        <v>0</v>
      </c>
      <c r="C9" s="36">
        <f>IFERROR(SUMIFS(Hesaplama!O:O,Hesaplama!A:A,A9),0)</f>
        <v>94500</v>
      </c>
      <c r="D9" s="38">
        <f t="shared" si="1"/>
        <v>-94500</v>
      </c>
      <c r="E9" s="95">
        <f>IFERROR(D9*Parametreler!B10/100,0)</f>
        <v>-47250</v>
      </c>
      <c r="F9" s="95">
        <f>IFERROR(D9*Parametreler!B11/100,0)</f>
        <v>-47250</v>
      </c>
      <c r="G9" s="38">
        <f t="shared" si="2"/>
        <v>-551735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6" t="s">
        <v>44</v>
      </c>
      <c r="B10" s="17">
        <f>IFERROR(SUMIFS(Hesaplama!D:D,Hesaplama!A:A,A10),0)</f>
        <v>0</v>
      </c>
      <c r="C10" s="31">
        <f>IFERROR(SUMIFS(Hesaplama!O:O,Hesaplama!A:A,A10),0)</f>
        <v>94500</v>
      </c>
      <c r="D10" s="33">
        <f t="shared" si="1"/>
        <v>-94500</v>
      </c>
      <c r="E10" s="94">
        <f>IFERROR(D10*Parametreler!B10/100,0)</f>
        <v>-47250</v>
      </c>
      <c r="F10" s="94">
        <f>IFERROR(D10*Parametreler!B11/100,0)</f>
        <v>-47250</v>
      </c>
      <c r="G10" s="33">
        <f t="shared" si="2"/>
        <v>-646235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24" t="s">
        <v>45</v>
      </c>
      <c r="B11" s="25">
        <f>IFERROR(SUMIFS(Hesaplama!D:D,Hesaplama!A:A,A11),0)</f>
        <v>0</v>
      </c>
      <c r="C11" s="36">
        <f>IFERROR(SUMIFS(Hesaplama!O:O,Hesaplama!A:A,A11),0)</f>
        <v>94500</v>
      </c>
      <c r="D11" s="38">
        <f t="shared" si="1"/>
        <v>-94500</v>
      </c>
      <c r="E11" s="95">
        <f>IFERROR(D11*Parametreler!B10/100,0)</f>
        <v>-47250</v>
      </c>
      <c r="F11" s="95">
        <f>IFERROR(D11*Parametreler!B11/100,0)</f>
        <v>-47250</v>
      </c>
      <c r="G11" s="38">
        <f t="shared" si="2"/>
        <v>-740735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16" t="s">
        <v>46</v>
      </c>
      <c r="B12" s="17">
        <f>IFERROR(SUMIFS(Hesaplama!D:D,Hesaplama!A:A,A12),0)</f>
        <v>0</v>
      </c>
      <c r="C12" s="31">
        <f>IFERROR(SUMIFS(Hesaplama!O:O,Hesaplama!A:A,A12),0)</f>
        <v>94500</v>
      </c>
      <c r="D12" s="33">
        <f t="shared" si="1"/>
        <v>-94500</v>
      </c>
      <c r="E12" s="94">
        <f>IFERROR(D12*Parametreler!B10/100,0)</f>
        <v>-47250</v>
      </c>
      <c r="F12" s="94">
        <f>IFERROR(D12*Parametreler!B11/100,0)</f>
        <v>-47250</v>
      </c>
      <c r="G12" s="33">
        <f t="shared" si="2"/>
        <v>-835235</v>
      </c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24" t="s">
        <v>47</v>
      </c>
      <c r="B13" s="25">
        <f>IFERROR(SUMIFS(Hesaplama!D:D,Hesaplama!A:A,A13),0)</f>
        <v>0</v>
      </c>
      <c r="C13" s="36">
        <f>IFERROR(SUMIFS(Hesaplama!O:O,Hesaplama!A:A,A13),0)</f>
        <v>94500</v>
      </c>
      <c r="D13" s="38">
        <f t="shared" si="1"/>
        <v>-94500</v>
      </c>
      <c r="E13" s="95">
        <f>IFERROR(D13*Parametreler!B10/100,0)</f>
        <v>-47250</v>
      </c>
      <c r="F13" s="95">
        <f>IFERROR(D13*Parametreler!B11/100,0)</f>
        <v>-47250</v>
      </c>
      <c r="G13" s="38">
        <f t="shared" si="2"/>
        <v>-929735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16" t="s">
        <v>48</v>
      </c>
      <c r="B14" s="17">
        <f>IFERROR(SUMIFS(Hesaplama!D:D,Hesaplama!A:A,A14),0)</f>
        <v>0</v>
      </c>
      <c r="C14" s="31">
        <f>IFERROR(SUMIFS(Hesaplama!O:O,Hesaplama!A:A,A14),0)</f>
        <v>94500</v>
      </c>
      <c r="D14" s="33">
        <f t="shared" si="1"/>
        <v>-94500</v>
      </c>
      <c r="E14" s="94">
        <f>IFERROR(D14*Parametreler!B10/100,0)</f>
        <v>-47250</v>
      </c>
      <c r="F14" s="94">
        <f>IFERROR(D14*Parametreler!B11/100,0)</f>
        <v>-47250</v>
      </c>
      <c r="G14" s="33">
        <f t="shared" si="2"/>
        <v>-1024235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24" t="s">
        <v>49</v>
      </c>
      <c r="B15" s="25">
        <f>IFERROR(SUMIFS(Hesaplama!D:D,Hesaplama!A:A,A15),0)</f>
        <v>0</v>
      </c>
      <c r="C15" s="36">
        <f>IFERROR(SUMIFS(Hesaplama!O:O,Hesaplama!A:A,A15),0)</f>
        <v>94500</v>
      </c>
      <c r="D15" s="38">
        <f t="shared" si="1"/>
        <v>-94500</v>
      </c>
      <c r="E15" s="95">
        <f>IFERROR(D15*Parametreler!B10/100,0)</f>
        <v>-47250</v>
      </c>
      <c r="F15" s="95">
        <f>IFERROR(D15*Parametreler!B11/100,0)</f>
        <v>-47250</v>
      </c>
      <c r="G15" s="38">
        <f t="shared" si="2"/>
        <v>-1118735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.5" customHeight="1">
      <c r="A16" s="80" t="s">
        <v>65</v>
      </c>
      <c r="B16" s="96">
        <f t="shared" ref="B16:F16" si="3">SUM(B4:B15)</f>
        <v>29700</v>
      </c>
      <c r="C16" s="96">
        <f t="shared" si="3"/>
        <v>1148435</v>
      </c>
      <c r="D16" s="96">
        <f t="shared" si="3"/>
        <v>-1118735</v>
      </c>
      <c r="E16" s="96">
        <f t="shared" si="3"/>
        <v>-559367.5</v>
      </c>
      <c r="F16" s="96">
        <f t="shared" si="3"/>
        <v>-559367.5</v>
      </c>
      <c r="G16" s="96">
        <f>G15</f>
        <v>-1118735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conditionalFormatting sqref="G4:G15">
    <cfRule type="cellIs" dxfId="2" priority="1" operator="lessThan">
      <formula>0</formula>
    </cfRule>
  </conditionalFormatting>
  <conditionalFormatting sqref="G4:G15">
    <cfRule type="cellIs" dxfId="3" priority="2" operator="greaterThanOrEqual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18.0"/>
    <col customWidth="1" min="3" max="3" width="16.0"/>
    <col customWidth="1" min="4" max="5" width="18.0"/>
    <col customWidth="1" min="6" max="6" width="20.0"/>
  </cols>
  <sheetData>
    <row r="1" ht="31.5" customHeight="1">
      <c r="A1" s="1" t="s">
        <v>195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5"/>
      <c r="C2" s="5"/>
      <c r="D2" s="5"/>
      <c r="E2" s="5"/>
      <c r="F2" s="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6" t="s">
        <v>196</v>
      </c>
      <c r="B4" s="6"/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15"/>
      <c r="B5" s="15" t="s">
        <v>197</v>
      </c>
      <c r="C5" s="15" t="s">
        <v>82</v>
      </c>
      <c r="D5" s="15" t="s">
        <v>198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45" t="s">
        <v>199</v>
      </c>
      <c r="B6" s="97">
        <f>IFERROR(Yatirim!E16,0)</f>
        <v>796750</v>
      </c>
      <c r="C6" s="97">
        <f>IFERROR(Yatirim!G16,0)</f>
        <v>43750</v>
      </c>
      <c r="D6" s="97">
        <f>IFERROR(Yatirim!H16,0)</f>
        <v>840500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.0" customHeight="1">
      <c r="A7" s="98" t="s">
        <v>200</v>
      </c>
      <c r="B7" s="8">
        <f>IFERROR(SUM(Hesaplama!Q5:Q28),0)</f>
        <v>1188</v>
      </c>
      <c r="C7" s="99"/>
      <c r="D7" s="99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.5" customHeight="1">
      <c r="A8" s="6" t="s">
        <v>201</v>
      </c>
      <c r="B8" s="6"/>
      <c r="C8" s="6"/>
      <c r="D8" s="6"/>
      <c r="E8" s="6"/>
      <c r="F8" s="6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15" t="s">
        <v>26</v>
      </c>
      <c r="B9" s="15" t="s">
        <v>202</v>
      </c>
      <c r="C9" s="15" t="s">
        <v>8</v>
      </c>
      <c r="D9" s="15" t="s">
        <v>203</v>
      </c>
      <c r="E9" s="15" t="s">
        <v>13</v>
      </c>
      <c r="F9" s="15" t="s">
        <v>204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75" customHeight="1">
      <c r="A10" s="18" t="s">
        <v>29</v>
      </c>
      <c r="B10" s="17">
        <f>IFERROR(SUMIFS(Hesaplama!D:D,Hesaplama!B:B,A10),0)</f>
        <v>15000</v>
      </c>
      <c r="C10" s="17">
        <f>IFERROR(SUMIFS(Hesaplama!E:E,Hesaplama!B:B,A10),0)</f>
        <v>2500</v>
      </c>
      <c r="D10" s="17">
        <f>IFERROR(SUMIFS(Hesaplama!F:F,Hesaplama!B:B,A10),0)</f>
        <v>12500</v>
      </c>
      <c r="E10" s="17">
        <f>IFERROR(SUMIFS(Hesaplama!O:O,Hesaplama!B:B,A10),0)</f>
        <v>685217.5</v>
      </c>
      <c r="F10" s="33">
        <f t="shared" ref="F10:F11" si="1">IFERROR(D10-E10,0)</f>
        <v>-672717.5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79" t="s">
        <v>30</v>
      </c>
      <c r="B11" s="25">
        <f>IFERROR(SUMIFS(Hesaplama!D:D,Hesaplama!B:B,A11),0)</f>
        <v>14700</v>
      </c>
      <c r="C11" s="25">
        <f>IFERROR(SUMIFS(Hesaplama!E:E,Hesaplama!B:B,A11),0)</f>
        <v>2450</v>
      </c>
      <c r="D11" s="25">
        <f>IFERROR(SUMIFS(Hesaplama!F:F,Hesaplama!B:B,A11),0)</f>
        <v>12250</v>
      </c>
      <c r="E11" s="25">
        <f>IFERROR(SUMIFS(Hesaplama!O:O,Hesaplama!B:B,A11),0)</f>
        <v>463217.5</v>
      </c>
      <c r="F11" s="38">
        <f t="shared" si="1"/>
        <v>-450967.5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5.5" customHeight="1">
      <c r="A12" s="80" t="s">
        <v>65</v>
      </c>
      <c r="B12" s="96">
        <f t="shared" ref="B12:F12" si="2">SUM(B10:B11)</f>
        <v>29700</v>
      </c>
      <c r="C12" s="96">
        <f t="shared" si="2"/>
        <v>4950</v>
      </c>
      <c r="D12" s="96">
        <f t="shared" si="2"/>
        <v>24750</v>
      </c>
      <c r="E12" s="96">
        <f t="shared" si="2"/>
        <v>1148435</v>
      </c>
      <c r="F12" s="96">
        <f t="shared" si="2"/>
        <v>-1123685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5.5" customHeight="1">
      <c r="A14" s="42" t="s">
        <v>205</v>
      </c>
      <c r="B14" s="64"/>
      <c r="C14" s="64"/>
      <c r="D14" s="64"/>
      <c r="E14" s="48"/>
      <c r="F14" s="48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8"/>
      <c r="B15" s="48"/>
      <c r="C15" s="48"/>
      <c r="D15" s="48"/>
      <c r="E15" s="48"/>
      <c r="F15" s="48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98" t="s">
        <v>206</v>
      </c>
      <c r="B16" s="60">
        <f>C12</f>
        <v>4950</v>
      </c>
      <c r="C16" s="48"/>
      <c r="D16" s="48"/>
      <c r="E16" s="48"/>
      <c r="F16" s="4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98" t="s">
        <v>207</v>
      </c>
      <c r="B17" s="60">
        <f>IFERROR(Giderler!C29*12+Giderler!B40*12,0)</f>
        <v>40800</v>
      </c>
      <c r="C17" s="48"/>
      <c r="D17" s="48"/>
      <c r="E17" s="48"/>
      <c r="F17" s="48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100" t="s">
        <v>208</v>
      </c>
      <c r="B18" s="31">
        <f>C6</f>
        <v>43750</v>
      </c>
      <c r="C18" s="31"/>
      <c r="D18" s="101"/>
      <c r="E18" s="48"/>
      <c r="F18" s="48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5" t="s">
        <v>209</v>
      </c>
      <c r="B19" s="46">
        <f>IFERROR(B16-B17-B18,0)</f>
        <v>-79600</v>
      </c>
      <c r="C19" s="48"/>
      <c r="D19" s="48"/>
      <c r="E19" s="48"/>
      <c r="F19" s="48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5.5" customHeight="1">
      <c r="A20" s="55"/>
      <c r="B20" s="102"/>
      <c r="C20" s="48"/>
      <c r="D20" s="48"/>
      <c r="E20" s="48"/>
      <c r="F20" s="4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5.5" customHeight="1">
      <c r="A21" s="42" t="s">
        <v>210</v>
      </c>
      <c r="B21" s="64"/>
      <c r="C21" s="64"/>
      <c r="D21" s="64"/>
      <c r="E21" s="48"/>
      <c r="F21" s="48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55"/>
      <c r="B22" s="102"/>
      <c r="C22" s="48"/>
      <c r="D22" s="48"/>
      <c r="E22" s="48"/>
      <c r="F22" s="48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100" t="s">
        <v>124</v>
      </c>
      <c r="B23" s="103">
        <v>22.0</v>
      </c>
      <c r="C23" s="31"/>
      <c r="D23" s="101"/>
      <c r="E23" s="48"/>
      <c r="F23" s="48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5.5" customHeight="1">
      <c r="A24" s="100" t="s">
        <v>211</v>
      </c>
      <c r="B24" s="31">
        <f>IFERROR(Giderler!B29*12+SUM(Hesaplama!M5:M28)+Giderler!B38*12,0)</f>
        <v>1314000</v>
      </c>
      <c r="C24" s="48"/>
      <c r="D24" s="48"/>
      <c r="E24" s="48"/>
      <c r="F24" s="48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45" t="s">
        <v>212</v>
      </c>
      <c r="B25" s="46">
        <f>IFERROR(IF(B23-B24&gt;0,B23-B24,0),0)</f>
        <v>0</v>
      </c>
      <c r="C25" s="48"/>
      <c r="D25" s="48"/>
      <c r="E25" s="48"/>
      <c r="F25" s="48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5.5" customHeight="1">
      <c r="A26" s="45" t="s">
        <v>213</v>
      </c>
      <c r="B26" s="104">
        <f>IFERROR(IF(B25&gt;0,B25*Parametreler!B8/100,0),0)</f>
        <v>0</v>
      </c>
      <c r="C26" s="48"/>
      <c r="D26" s="48"/>
      <c r="E26" s="48"/>
      <c r="F26" s="4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8"/>
      <c r="B27" s="48"/>
      <c r="C27" s="48"/>
      <c r="D27" s="48"/>
      <c r="E27" s="48"/>
      <c r="F27" s="48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2.25" customHeight="1">
      <c r="A28" s="105" t="s">
        <v>214</v>
      </c>
      <c r="B28" s="106"/>
      <c r="C28" s="64"/>
      <c r="D28" s="64"/>
      <c r="E28" s="48"/>
      <c r="F28" s="48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5.5" customHeight="1">
      <c r="A29" s="55"/>
      <c r="B29" s="102"/>
      <c r="C29" s="48"/>
      <c r="D29" s="48"/>
      <c r="E29" s="48"/>
      <c r="F29" s="48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5.5" customHeight="1">
      <c r="A30" s="100" t="s">
        <v>215</v>
      </c>
      <c r="B30" s="107">
        <f>F12</f>
        <v>-1123685</v>
      </c>
      <c r="C30" s="48"/>
      <c r="D30" s="48"/>
      <c r="E30" s="48"/>
      <c r="F30" s="48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00" t="s">
        <v>216</v>
      </c>
      <c r="B31" s="31">
        <f>IFERROR(IF(B19&gt;0,B19,0),0)</f>
        <v>0</v>
      </c>
      <c r="C31" s="48"/>
      <c r="D31" s="48"/>
      <c r="E31" s="48"/>
      <c r="F31" s="48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0" t="s">
        <v>217</v>
      </c>
      <c r="B32" s="31">
        <f>B26</f>
        <v>0</v>
      </c>
      <c r="C32" s="48"/>
      <c r="D32" s="48"/>
      <c r="E32" s="48"/>
      <c r="F32" s="4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5" t="s">
        <v>71</v>
      </c>
      <c r="B33" s="12">
        <f>IFERROR(B30-B31-B32,0)</f>
        <v>-1123685</v>
      </c>
      <c r="C33" s="48"/>
      <c r="D33" s="48"/>
      <c r="E33" s="48"/>
      <c r="F33" s="48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8"/>
      <c r="B34" s="48"/>
      <c r="C34" s="48"/>
      <c r="D34" s="48"/>
      <c r="E34" s="48"/>
      <c r="F34" s="48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5" t="s">
        <v>218</v>
      </c>
      <c r="B35" s="46">
        <f>IFERROR(B33*Parametreler!B10/100,0)</f>
        <v>-561842.5</v>
      </c>
      <c r="C35" s="48"/>
      <c r="D35" s="48"/>
      <c r="E35" s="48"/>
      <c r="F35" s="48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5" t="s">
        <v>219</v>
      </c>
      <c r="B36" s="46">
        <f>IFERROR(B33*Parametreler!B11/100,0)</f>
        <v>-561842.5</v>
      </c>
      <c r="C36" s="48"/>
      <c r="D36" s="48"/>
      <c r="E36" s="48"/>
      <c r="F36" s="48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8"/>
      <c r="B37" s="48"/>
      <c r="C37" s="48"/>
      <c r="D37" s="48"/>
      <c r="E37" s="48"/>
      <c r="F37" s="48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5.5" customHeight="1">
      <c r="A38" s="48"/>
      <c r="B38" s="48"/>
      <c r="C38" s="48"/>
      <c r="D38" s="48"/>
      <c r="E38" s="48"/>
      <c r="F38" s="4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5"/>
      <c r="B39" s="65"/>
      <c r="C39" s="65"/>
      <c r="D39" s="65"/>
      <c r="E39" s="48"/>
      <c r="F39" s="48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5"/>
      <c r="B40" s="56"/>
      <c r="C40" s="65"/>
      <c r="D40" s="56"/>
      <c r="E40" s="48"/>
      <c r="F40" s="48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5"/>
      <c r="B41" s="56"/>
      <c r="C41" s="65"/>
      <c r="D41" s="56"/>
      <c r="E41" s="48"/>
      <c r="F41" s="48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5"/>
      <c r="B42" s="56"/>
      <c r="C42" s="65"/>
      <c r="D42" s="56"/>
      <c r="E42" s="48"/>
      <c r="F42" s="48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5"/>
      <c r="B43" s="56"/>
      <c r="C43" s="65"/>
      <c r="D43" s="56"/>
      <c r="E43" s="48"/>
      <c r="F43" s="48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65"/>
      <c r="B44" s="56"/>
      <c r="C44" s="65"/>
      <c r="D44" s="56"/>
      <c r="E44" s="48"/>
      <c r="F44" s="4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5"/>
      <c r="B45" s="56"/>
      <c r="C45" s="65"/>
      <c r="D45" s="56"/>
      <c r="E45" s="48"/>
      <c r="F45" s="48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8"/>
      <c r="B46" s="48"/>
      <c r="C46" s="48"/>
      <c r="D46" s="48"/>
      <c r="E46" s="48"/>
      <c r="F46" s="48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8"/>
      <c r="B47" s="48"/>
      <c r="C47" s="48"/>
      <c r="D47" s="48"/>
      <c r="E47" s="48"/>
      <c r="F47" s="48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8"/>
      <c r="B48" s="48"/>
      <c r="C48" s="48"/>
      <c r="D48" s="48"/>
      <c r="E48" s="48"/>
      <c r="F48" s="4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8"/>
      <c r="B49" s="48"/>
      <c r="C49" s="48"/>
      <c r="D49" s="48"/>
      <c r="E49" s="48"/>
      <c r="F49" s="4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conditionalFormatting sqref="B28">
    <cfRule type="cellIs" dxfId="0" priority="1" operator="greaterThanOrEqual">
      <formula>0</formula>
    </cfRule>
  </conditionalFormatting>
  <conditionalFormatting sqref="B28">
    <cfRule type="cellIs" dxfId="1" priority="2" operator="lessThan">
      <formula>0</formula>
    </cfRule>
  </conditionalFormatting>
  <conditionalFormatting sqref="B19">
    <cfRule type="cellIs" dxfId="8" priority="3" operator="greaterThan">
      <formula>0</formula>
    </cfRule>
  </conditionalFormatting>
  <conditionalFormatting sqref="B19">
    <cfRule type="cellIs" dxfId="9" priority="4" operator="lessThanOrEqual">
      <formula>0</formula>
    </cfRule>
  </conditionalFormatting>
  <conditionalFormatting sqref="B33">
    <cfRule type="cellIs" dxfId="6" priority="5" operator="greaterThanOrEqual">
      <formula>0</formula>
    </cfRule>
  </conditionalFormatting>
  <conditionalFormatting sqref="B33">
    <cfRule type="cellIs" dxfId="7" priority="6" operator="less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5" width="14.0"/>
    <col customWidth="1" min="6" max="6" width="16.0"/>
    <col customWidth="1" min="7" max="7" width="14.0"/>
    <col customWidth="1" min="8" max="8" width="16.0"/>
    <col customWidth="1" min="9" max="10" width="14.0"/>
    <col customWidth="1" min="11" max="11" width="12.0"/>
  </cols>
  <sheetData>
    <row r="1" ht="31.5" customHeight="1">
      <c r="A1" s="108" t="s">
        <v>220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28" t="s">
        <v>221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5.5" customHeight="1">
      <c r="A5" s="42" t="s">
        <v>222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29" t="s">
        <v>223</v>
      </c>
      <c r="B6" s="29" t="s">
        <v>224</v>
      </c>
      <c r="C6" s="29" t="s">
        <v>225</v>
      </c>
      <c r="D6" s="29" t="s">
        <v>226</v>
      </c>
      <c r="E6" s="29" t="s">
        <v>227</v>
      </c>
      <c r="F6" s="29" t="s">
        <v>228</v>
      </c>
      <c r="G6" s="29" t="s">
        <v>229</v>
      </c>
      <c r="H6" s="29" t="s">
        <v>230</v>
      </c>
      <c r="I6" s="29" t="s">
        <v>231</v>
      </c>
      <c r="J6" s="29" t="s">
        <v>232</v>
      </c>
      <c r="K6" s="29" t="s">
        <v>233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109">
        <v>200.0</v>
      </c>
      <c r="B7" s="110">
        <f t="shared" ref="B7:B16" si="1">ROUNDUP(A7/2,0)</f>
        <v>100</v>
      </c>
      <c r="C7" s="32">
        <f>IFERROR(A7*Parametreler!B4*(1-Parametreler!B16/100)/(1+Parametreler!B5/100),0)</f>
        <v>48000</v>
      </c>
      <c r="D7" s="31">
        <f>IFERROR(AVM_Detay!G9,0)</f>
        <v>92500</v>
      </c>
      <c r="E7" s="33">
        <f t="shared" ref="E7:E16" si="2">IFERROR(C7-D7,0)</f>
        <v>-44500</v>
      </c>
      <c r="F7" s="33">
        <f t="shared" ref="F7:F16" si="3">IFERROR(E7*12,0)</f>
        <v>-534000</v>
      </c>
      <c r="G7" s="32">
        <f>IFERROR(IF(F7&gt;0,F7*Parametreler!B8/100,0),0)</f>
        <v>0</v>
      </c>
      <c r="H7" s="34">
        <f t="shared" ref="H7:H16" si="4">IFERROR(F7-G7,0)</f>
        <v>-534000</v>
      </c>
      <c r="I7" s="107">
        <f>IFERROR(H7*Parametreler!B10/100,0)</f>
        <v>-267000</v>
      </c>
      <c r="J7" s="107">
        <f>IFERROR(H7*Parametreler!B11/100,0)</f>
        <v>-267000</v>
      </c>
      <c r="K7" s="33">
        <f t="shared" ref="K7:K16" si="5">IFERROR(H7/12/2,0)</f>
        <v>-22250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109">
        <v>300.0</v>
      </c>
      <c r="B8" s="111">
        <f t="shared" si="1"/>
        <v>150</v>
      </c>
      <c r="C8" s="37">
        <f>IFERROR(A8*Parametreler!B4*(1-Parametreler!B16/100)/(1+Parametreler!B5/100),0)</f>
        <v>72000</v>
      </c>
      <c r="D8" s="36">
        <f>IFERROR(AVM_Detay!G9,0)</f>
        <v>92500</v>
      </c>
      <c r="E8" s="38">
        <f t="shared" si="2"/>
        <v>-20500</v>
      </c>
      <c r="F8" s="38">
        <f t="shared" si="3"/>
        <v>-246000</v>
      </c>
      <c r="G8" s="37">
        <f>IFERROR(IF(F8&gt;0,F8*Parametreler!B8/100,0),0)</f>
        <v>0</v>
      </c>
      <c r="H8" s="39">
        <f t="shared" si="4"/>
        <v>-246000</v>
      </c>
      <c r="I8" s="112">
        <f>IFERROR(H8*Parametreler!B10/100,0)</f>
        <v>-123000</v>
      </c>
      <c r="J8" s="112">
        <f>IFERROR(H8*Parametreler!B11/100,0)</f>
        <v>-123000</v>
      </c>
      <c r="K8" s="38">
        <f t="shared" si="5"/>
        <v>-10250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109">
        <v>370.0</v>
      </c>
      <c r="B9" s="110">
        <f t="shared" si="1"/>
        <v>185</v>
      </c>
      <c r="C9" s="32">
        <f>IFERROR(A9*Parametreler!B4*(1-Parametreler!B16/100)/(1+Parametreler!B5/100),0)</f>
        <v>88800</v>
      </c>
      <c r="D9" s="31">
        <f>IFERROR(AVM_Detay!G9,0)</f>
        <v>92500</v>
      </c>
      <c r="E9" s="33">
        <f t="shared" si="2"/>
        <v>-3700</v>
      </c>
      <c r="F9" s="33">
        <f t="shared" si="3"/>
        <v>-44400</v>
      </c>
      <c r="G9" s="32">
        <f>IFERROR(IF(F9&gt;0,F9*Parametreler!B8/100,0),0)</f>
        <v>0</v>
      </c>
      <c r="H9" s="34">
        <f t="shared" si="4"/>
        <v>-44400</v>
      </c>
      <c r="I9" s="107">
        <f>IFERROR(H9*Parametreler!B10/100,0)</f>
        <v>-22200</v>
      </c>
      <c r="J9" s="107">
        <f>IFERROR(H9*Parametreler!B11/100,0)</f>
        <v>-22200</v>
      </c>
      <c r="K9" s="33">
        <f t="shared" si="5"/>
        <v>-1850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0" customHeight="1">
      <c r="A10" s="109">
        <v>400.0</v>
      </c>
      <c r="B10" s="111">
        <f t="shared" si="1"/>
        <v>200</v>
      </c>
      <c r="C10" s="37">
        <f>IFERROR(A10*Parametreler!B4*(1-Parametreler!B16/100)/(1+Parametreler!B5/100),0)</f>
        <v>96000</v>
      </c>
      <c r="D10" s="36">
        <f>IFERROR(AVM_Detay!G9,0)</f>
        <v>92500</v>
      </c>
      <c r="E10" s="38">
        <f t="shared" si="2"/>
        <v>3500</v>
      </c>
      <c r="F10" s="38">
        <f t="shared" si="3"/>
        <v>42000</v>
      </c>
      <c r="G10" s="37">
        <f>IFERROR(IF(F10&gt;0,F10*Parametreler!B8/100,0),0)</f>
        <v>9240</v>
      </c>
      <c r="H10" s="39">
        <f t="shared" si="4"/>
        <v>32760</v>
      </c>
      <c r="I10" s="112">
        <f>IFERROR(H10*Parametreler!B10/100,0)</f>
        <v>16380</v>
      </c>
      <c r="J10" s="112">
        <f>IFERROR(H10*Parametreler!B11/100,0)</f>
        <v>16380</v>
      </c>
      <c r="K10" s="38">
        <f t="shared" si="5"/>
        <v>1365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109">
        <v>500.0</v>
      </c>
      <c r="B11" s="110">
        <f t="shared" si="1"/>
        <v>250</v>
      </c>
      <c r="C11" s="32">
        <f>IFERROR(A11*Parametreler!B4*(1-Parametreler!B16/100)/(1+Parametreler!B5/100),0)</f>
        <v>120000</v>
      </c>
      <c r="D11" s="31">
        <f>IFERROR(AVM_Detay!G9,0)</f>
        <v>92500</v>
      </c>
      <c r="E11" s="33">
        <f t="shared" si="2"/>
        <v>27500</v>
      </c>
      <c r="F11" s="33">
        <f t="shared" si="3"/>
        <v>330000</v>
      </c>
      <c r="G11" s="32">
        <f>IFERROR(IF(F11&gt;0,F11*Parametreler!B8/100,0),0)</f>
        <v>72600</v>
      </c>
      <c r="H11" s="34">
        <f t="shared" si="4"/>
        <v>257400</v>
      </c>
      <c r="I11" s="107">
        <f>IFERROR(H11*Parametreler!B10/100,0)</f>
        <v>128700</v>
      </c>
      <c r="J11" s="107">
        <f>IFERROR(H11*Parametreler!B11/100,0)</f>
        <v>128700</v>
      </c>
      <c r="K11" s="33">
        <f t="shared" si="5"/>
        <v>10725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0" customHeight="1">
      <c r="A12" s="109">
        <v>600.0</v>
      </c>
      <c r="B12" s="111">
        <f t="shared" si="1"/>
        <v>300</v>
      </c>
      <c r="C12" s="37">
        <f>IFERROR(A12*Parametreler!B4*(1-Parametreler!B16/100)/(1+Parametreler!B5/100),0)</f>
        <v>144000</v>
      </c>
      <c r="D12" s="36">
        <f>IFERROR(AVM_Detay!G9,0)</f>
        <v>92500</v>
      </c>
      <c r="E12" s="38">
        <f t="shared" si="2"/>
        <v>51500</v>
      </c>
      <c r="F12" s="38">
        <f t="shared" si="3"/>
        <v>618000</v>
      </c>
      <c r="G12" s="37">
        <f>IFERROR(IF(F12&gt;0,F12*Parametreler!B8/100,0),0)</f>
        <v>135960</v>
      </c>
      <c r="H12" s="39">
        <f t="shared" si="4"/>
        <v>482040</v>
      </c>
      <c r="I12" s="112">
        <f>IFERROR(H12*Parametreler!B10/100,0)</f>
        <v>241020</v>
      </c>
      <c r="J12" s="112">
        <f>IFERROR(H12*Parametreler!B11/100,0)</f>
        <v>241020</v>
      </c>
      <c r="K12" s="38">
        <f t="shared" si="5"/>
        <v>20085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0" customHeight="1">
      <c r="A13" s="109">
        <v>700.0</v>
      </c>
      <c r="B13" s="110">
        <f t="shared" si="1"/>
        <v>350</v>
      </c>
      <c r="C13" s="32">
        <f>IFERROR(A13*Parametreler!B4*(1-Parametreler!B16/100)/(1+Parametreler!B5/100),0)</f>
        <v>168000</v>
      </c>
      <c r="D13" s="31">
        <f>IFERROR(AVM_Detay!G9,0)</f>
        <v>92500</v>
      </c>
      <c r="E13" s="33">
        <f t="shared" si="2"/>
        <v>75500</v>
      </c>
      <c r="F13" s="33">
        <f t="shared" si="3"/>
        <v>906000</v>
      </c>
      <c r="G13" s="32">
        <f>IFERROR(IF(F13&gt;0,F13*Parametreler!B8/100,0),0)</f>
        <v>199320</v>
      </c>
      <c r="H13" s="34">
        <f t="shared" si="4"/>
        <v>706680</v>
      </c>
      <c r="I13" s="107">
        <f>IFERROR(H13*Parametreler!B10/100,0)</f>
        <v>353340</v>
      </c>
      <c r="J13" s="107">
        <f>IFERROR(H13*Parametreler!B11/100,0)</f>
        <v>353340</v>
      </c>
      <c r="K13" s="33">
        <f t="shared" si="5"/>
        <v>29445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0" customHeight="1">
      <c r="A14" s="109">
        <v>800.0</v>
      </c>
      <c r="B14" s="111">
        <f t="shared" si="1"/>
        <v>400</v>
      </c>
      <c r="C14" s="37">
        <f>IFERROR(A14*Parametreler!B4*(1-Parametreler!B16/100)/(1+Parametreler!B5/100),0)</f>
        <v>192000</v>
      </c>
      <c r="D14" s="36">
        <f>IFERROR(AVM_Detay!G9,0)</f>
        <v>92500</v>
      </c>
      <c r="E14" s="38">
        <f t="shared" si="2"/>
        <v>99500</v>
      </c>
      <c r="F14" s="38">
        <f t="shared" si="3"/>
        <v>1194000</v>
      </c>
      <c r="G14" s="37">
        <f>IFERROR(IF(F14&gt;0,F14*Parametreler!B8/100,0),0)</f>
        <v>262680</v>
      </c>
      <c r="H14" s="39">
        <f t="shared" si="4"/>
        <v>931320</v>
      </c>
      <c r="I14" s="112">
        <f>IFERROR(H14*Parametreler!B10/100,0)</f>
        <v>465660</v>
      </c>
      <c r="J14" s="112">
        <f>IFERROR(H14*Parametreler!B11/100,0)</f>
        <v>465660</v>
      </c>
      <c r="K14" s="38">
        <f t="shared" si="5"/>
        <v>38805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109">
        <v>1000.0</v>
      </c>
      <c r="B15" s="110">
        <f t="shared" si="1"/>
        <v>500</v>
      </c>
      <c r="C15" s="32">
        <f>IFERROR(A15*Parametreler!B4*(1-Parametreler!B16/100)/(1+Parametreler!B5/100),0)</f>
        <v>240000</v>
      </c>
      <c r="D15" s="31">
        <f>IFERROR(AVM_Detay!G9,0)</f>
        <v>92500</v>
      </c>
      <c r="E15" s="33">
        <f t="shared" si="2"/>
        <v>147500</v>
      </c>
      <c r="F15" s="33">
        <f t="shared" si="3"/>
        <v>1770000</v>
      </c>
      <c r="G15" s="32">
        <f>IFERROR(IF(F15&gt;0,F15*Parametreler!B8/100,0),0)</f>
        <v>389400</v>
      </c>
      <c r="H15" s="34">
        <f t="shared" si="4"/>
        <v>1380600</v>
      </c>
      <c r="I15" s="107">
        <f>IFERROR(H15*Parametreler!B10/100,0)</f>
        <v>690300</v>
      </c>
      <c r="J15" s="107">
        <f>IFERROR(H15*Parametreler!B11/100,0)</f>
        <v>690300</v>
      </c>
      <c r="K15" s="33">
        <f t="shared" si="5"/>
        <v>57525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0" customHeight="1">
      <c r="A16" s="109">
        <v>1500.0</v>
      </c>
      <c r="B16" s="111">
        <f t="shared" si="1"/>
        <v>750</v>
      </c>
      <c r="C16" s="37">
        <f>IFERROR(A16*Parametreler!B4*(1-Parametreler!B16/100)/(1+Parametreler!B5/100),0)</f>
        <v>360000</v>
      </c>
      <c r="D16" s="36">
        <f>IFERROR(AVM_Detay!G9,0)</f>
        <v>92500</v>
      </c>
      <c r="E16" s="38">
        <f t="shared" si="2"/>
        <v>267500</v>
      </c>
      <c r="F16" s="38">
        <f t="shared" si="3"/>
        <v>3210000</v>
      </c>
      <c r="G16" s="37">
        <f>IFERROR(IF(F16&gt;0,F16*Parametreler!B8/100,0),0)</f>
        <v>706200</v>
      </c>
      <c r="H16" s="39">
        <f t="shared" si="4"/>
        <v>2503800</v>
      </c>
      <c r="I16" s="112">
        <f>IFERROR(H16*Parametreler!B10/100,0)</f>
        <v>1251900</v>
      </c>
      <c r="J16" s="112">
        <f>IFERROR(H16*Parametreler!B11/100,0)</f>
        <v>1251900</v>
      </c>
      <c r="K16" s="38">
        <f t="shared" si="5"/>
        <v>104325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5.5" customHeight="1">
      <c r="A18" s="42" t="s">
        <v>234</v>
      </c>
      <c r="B18" s="43"/>
      <c r="C18" s="43"/>
      <c r="D18" s="4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3.25" customHeight="1">
      <c r="A20" s="45" t="s">
        <v>235</v>
      </c>
      <c r="B20" s="13">
        <f>Basabas!B13</f>
        <v>386</v>
      </c>
      <c r="C20" s="74" t="s">
        <v>236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5" t="s">
        <v>237</v>
      </c>
      <c r="B21" s="13">
        <f>Basabas!B14</f>
        <v>193</v>
      </c>
      <c r="C21" s="74" t="s">
        <v>236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4.5" customHeight="1">
      <c r="A22" s="45" t="s">
        <v>238</v>
      </c>
      <c r="B22" s="13">
        <f>IFERROR(ROUNDUP(Basabas!B14/30,0),"-")</f>
        <v>7</v>
      </c>
      <c r="C22" s="74" t="s">
        <v>239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1"/>
    <mergeCell ref="A3:K3"/>
  </mergeCells>
  <conditionalFormatting sqref="E7:E16">
    <cfRule type="cellIs" dxfId="4" priority="1" operator="lessThan">
      <formula>0</formula>
    </cfRule>
  </conditionalFormatting>
  <conditionalFormatting sqref="E7:E16">
    <cfRule type="cellIs" dxfId="5" priority="2" operator="greaterThanOrEqual">
      <formula>0</formula>
    </cfRule>
  </conditionalFormatting>
  <conditionalFormatting sqref="H7:H16">
    <cfRule type="cellIs" dxfId="4" priority="3" operator="lessThan">
      <formula>0</formula>
    </cfRule>
  </conditionalFormatting>
  <conditionalFormatting sqref="H7:H16">
    <cfRule type="cellIs" dxfId="5" priority="4" operator="greaterThanOrEqual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6.0"/>
    <col customWidth="1" min="2" max="2" width="22.0"/>
    <col customWidth="1" min="3" max="3" width="8.57"/>
    <col customWidth="1" min="4" max="4" width="22.0"/>
    <col customWidth="1" min="5" max="6" width="8.71"/>
  </cols>
  <sheetData>
    <row r="1" ht="31.5" customHeight="1">
      <c r="A1" s="1" t="s">
        <v>240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5"/>
      <c r="C2" s="5"/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6" t="s">
        <v>241</v>
      </c>
      <c r="B4" s="6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5.5" customHeight="1">
      <c r="A6" s="44" t="s">
        <v>242</v>
      </c>
      <c r="B6" s="113">
        <f>IFERROR(AVM_Detay!G9,0)</f>
        <v>92500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5.5" customHeight="1">
      <c r="A8" s="45" t="s">
        <v>243</v>
      </c>
      <c r="B8" s="114">
        <f>IFERROR(B6,0)</f>
        <v>92500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6" t="s">
        <v>244</v>
      </c>
      <c r="B10" s="6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4" t="s">
        <v>245</v>
      </c>
      <c r="B12" s="115">
        <f>IFERROR(Parametreler!B4*(1-Parametreler!B16/100)/(1+Parametreler!B5/100),0)</f>
        <v>240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7.75" customHeight="1">
      <c r="A13" s="9" t="s">
        <v>246</v>
      </c>
      <c r="B13" s="116">
        <f>IFERROR(ROUNDUP(B8/B12,0),"-")</f>
        <v>386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7.75" customHeight="1">
      <c r="A14" s="9" t="s">
        <v>23</v>
      </c>
      <c r="B14" s="116">
        <f>IFERROR(ROUNDUP(B13/2,0),"-")</f>
        <v>193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75" customHeight="1">
      <c r="A16" s="44" t="s">
        <v>199</v>
      </c>
      <c r="B16" s="113">
        <f>IFERROR(Yatirim!H16,0)</f>
        <v>840500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75" customHeight="1">
      <c r="A17" s="9" t="s">
        <v>247</v>
      </c>
      <c r="B17" s="116" t="str">
        <f>IFERROR(IF(Kar_Analizi!F12&gt;0,ROUNDUP(B16/(Kar_Analizi!F12/Parametreler!B12),0),"-"),"-")</f>
        <v>-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5.5" customHeight="1">
      <c r="A19" s="6" t="s">
        <v>248</v>
      </c>
      <c r="B19" s="6"/>
      <c r="C19" s="6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15" t="s">
        <v>249</v>
      </c>
      <c r="B20" s="15" t="s">
        <v>203</v>
      </c>
      <c r="C20" s="15" t="s">
        <v>250</v>
      </c>
      <c r="D20" s="15" t="s">
        <v>251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117">
        <v>100.0</v>
      </c>
      <c r="B21" s="32">
        <f>IFERROR(A21*B12,0)</f>
        <v>24000</v>
      </c>
      <c r="C21" s="17">
        <f>B8</f>
        <v>92500</v>
      </c>
      <c r="D21" s="33">
        <f t="shared" ref="D21:D27" si="1">IFERROR(B21-C21,0)</f>
        <v>-68500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118">
        <v>150.0</v>
      </c>
      <c r="B22" s="37">
        <f>IFERROR(A22*B12,0)</f>
        <v>36000</v>
      </c>
      <c r="C22" s="25">
        <f>B8</f>
        <v>92500</v>
      </c>
      <c r="D22" s="38">
        <f t="shared" si="1"/>
        <v>-56500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117">
        <v>200.0</v>
      </c>
      <c r="B23" s="32">
        <f>IFERROR(A23*B12,0)</f>
        <v>48000</v>
      </c>
      <c r="C23" s="17">
        <f>B8</f>
        <v>92500</v>
      </c>
      <c r="D23" s="33">
        <f t="shared" si="1"/>
        <v>-44500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118">
        <v>250.0</v>
      </c>
      <c r="B24" s="37">
        <f>IFERROR(A24*B12,0)</f>
        <v>60000</v>
      </c>
      <c r="C24" s="25">
        <f>B8</f>
        <v>92500</v>
      </c>
      <c r="D24" s="38">
        <f t="shared" si="1"/>
        <v>-32500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75" customHeight="1">
      <c r="A25" s="117">
        <v>300.0</v>
      </c>
      <c r="B25" s="32">
        <f>IFERROR(A25*B12,0)</f>
        <v>72000</v>
      </c>
      <c r="C25" s="17">
        <f>B8</f>
        <v>92500</v>
      </c>
      <c r="D25" s="33">
        <f t="shared" si="1"/>
        <v>-20500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75" customHeight="1">
      <c r="A26" s="118">
        <v>400.0</v>
      </c>
      <c r="B26" s="37">
        <f>IFERROR(A26*B12,0)</f>
        <v>96000</v>
      </c>
      <c r="C26" s="25">
        <f>B8</f>
        <v>92500</v>
      </c>
      <c r="D26" s="38">
        <f t="shared" si="1"/>
        <v>3500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75" customHeight="1">
      <c r="A27" s="117">
        <v>500.0</v>
      </c>
      <c r="B27" s="32">
        <f>IFERROR(A27*B12,0)</f>
        <v>120000</v>
      </c>
      <c r="C27" s="17">
        <f>B8</f>
        <v>92500</v>
      </c>
      <c r="D27" s="33">
        <f t="shared" si="1"/>
        <v>27500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5.5" customHeight="1">
      <c r="A28" s="42" t="s">
        <v>252</v>
      </c>
      <c r="B28" s="43"/>
      <c r="C28" s="43"/>
      <c r="D28" s="4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19" t="s">
        <v>253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19" t="s">
        <v>254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19" t="s">
        <v>255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19" t="s">
        <v>256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19" t="s">
        <v>257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conditionalFormatting sqref="D21:D27">
    <cfRule type="cellIs" dxfId="2" priority="1" operator="lessThan">
      <formula>0</formula>
    </cfRule>
  </conditionalFormatting>
  <conditionalFormatting sqref="D21:D27">
    <cfRule type="cellIs" dxfId="3" priority="2" operator="greaterThanOrEqual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9488"/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72.0"/>
    <col customWidth="1" min="3" max="6" width="8.71"/>
  </cols>
  <sheetData>
    <row r="1" ht="31.5" customHeight="1">
      <c r="A1" s="1" t="s">
        <v>258</v>
      </c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.0" customHeight="1">
      <c r="A2" s="5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5.5" customHeight="1">
      <c r="A4" s="6"/>
      <c r="B4" s="6" t="s">
        <v>259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75" customHeight="1">
      <c r="A5" s="120" t="s">
        <v>260</v>
      </c>
      <c r="B5" s="119" t="s">
        <v>261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75" customHeight="1">
      <c r="A6" s="120" t="s">
        <v>262</v>
      </c>
      <c r="B6" s="119" t="s">
        <v>263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75" customHeight="1">
      <c r="A7" s="120" t="s">
        <v>264</v>
      </c>
      <c r="B7" s="119" t="s">
        <v>265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75" customHeight="1">
      <c r="A8" s="120" t="s">
        <v>266</v>
      </c>
      <c r="B8" s="119" t="s">
        <v>267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5.5" customHeight="1">
      <c r="A10" s="6"/>
      <c r="B10" s="6" t="s">
        <v>268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75" customHeight="1">
      <c r="A11" s="4"/>
      <c r="B11" s="119" t="s">
        <v>269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75" customHeight="1">
      <c r="A12" s="4"/>
      <c r="B12" s="119" t="s">
        <v>270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75" customHeight="1">
      <c r="A13" s="4"/>
      <c r="B13" s="119" t="s">
        <v>271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75" customHeight="1">
      <c r="A14" s="4"/>
      <c r="B14" s="119" t="s">
        <v>272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5.5" customHeight="1">
      <c r="A16" s="6"/>
      <c r="B16" s="6" t="s">
        <v>273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75" customHeight="1">
      <c r="A17" s="4"/>
      <c r="B17" s="119" t="s">
        <v>274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75" customHeight="1">
      <c r="A18" s="4"/>
      <c r="B18" s="119" t="s">
        <v>275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75" customHeight="1">
      <c r="A19" s="4"/>
      <c r="B19" s="119" t="s">
        <v>276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75" customHeight="1">
      <c r="A22" s="4"/>
      <c r="B22" s="121" t="s">
        <v>277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75" customHeight="1">
      <c r="A23" s="4"/>
      <c r="B23" s="119" t="s">
        <v>278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75" customHeight="1">
      <c r="A24" s="4"/>
      <c r="B24" s="119" t="s">
        <v>279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119" t="s">
        <v>280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122" t="s">
        <v>281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